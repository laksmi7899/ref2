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gama\OneDrive\문서\카카오톡 받은 파일\"/>
    </mc:Choice>
  </mc:AlternateContent>
  <xr:revisionPtr revIDLastSave="0" documentId="13_ncr:1_{3D062CDA-D6F7-432F-AAE9-7CD111B5267F}" xr6:coauthVersionLast="47" xr6:coauthVersionMax="47" xr10:uidLastSave="{00000000-0000-0000-0000-000000000000}"/>
  <bookViews>
    <workbookView xWindow="0" yWindow="105" windowWidth="19425" windowHeight="15255" tabRatio="746" activeTab="4" xr2:uid="{00000000-000D-0000-FFFF-FFFF00000000}"/>
  </bookViews>
  <sheets>
    <sheet name="🏥 맞춤 시뮬레이터" sheetId="1" r:id="rId1"/>
    <sheet name="📋 DC형·복지기금 상세" sheetId="2" r:id="rId2"/>
    <sheet name="💰 페이닥터 절세전략" sheetId="3" r:id="rId3"/>
    <sheet name="💬 페이닥터 설득 스크립트" sheetId="4" r:id="rId4"/>
    <sheet name="📊 참고사례" sheetId="5" r:id="rId5"/>
    <sheet name="📝 무료 진단 신청서" sheetId="6" r:id="rId6"/>
    <sheet name="_기준표" sheetId="7" state="hidden" r:id="rId7"/>
  </sheets>
  <calcPr calcId="191029" iterateDelta="1E-4"/>
</workbook>
</file>

<file path=xl/calcChain.xml><?xml version="1.0" encoding="utf-8"?>
<calcChain xmlns="http://schemas.openxmlformats.org/spreadsheetml/2006/main">
  <c r="AA7" i="1" l="1"/>
  <c r="AA11" i="1" s="1"/>
  <c r="D39" i="1" s="1"/>
  <c r="AA6" i="1"/>
  <c r="AA8" i="1"/>
  <c r="AA9" i="1"/>
  <c r="C36" i="1" s="1"/>
  <c r="AA10" i="1"/>
  <c r="G28" i="1" s="1"/>
  <c r="B31" i="1" s="1"/>
  <c r="B22" i="5"/>
  <c r="E20" i="3"/>
  <c r="D20" i="3"/>
  <c r="C20" i="3"/>
  <c r="C10" i="2"/>
  <c r="C9" i="2"/>
  <c r="C8" i="2"/>
  <c r="C7" i="2"/>
  <c r="C6" i="2"/>
  <c r="G30" i="1"/>
  <c r="G27" i="1"/>
  <c r="G9" i="1"/>
  <c r="G8" i="1"/>
  <c r="E26" i="5" s="1"/>
  <c r="D26" i="5" l="1"/>
  <c r="C26" i="5"/>
  <c r="G7" i="1"/>
  <c r="F39" i="1"/>
  <c r="C21" i="1"/>
  <c r="D36" i="1"/>
  <c r="D21" i="1"/>
  <c r="F36" i="1"/>
  <c r="E21" i="1"/>
  <c r="C37" i="1"/>
  <c r="G21" i="1"/>
  <c r="D37" i="1"/>
  <c r="H21" i="1"/>
  <c r="F37" i="1"/>
  <c r="C38" i="1"/>
  <c r="D38" i="1"/>
  <c r="F38" i="1"/>
  <c r="C39" i="1"/>
  <c r="G6" i="1"/>
  <c r="G29" i="1"/>
  <c r="H22" i="1" l="1"/>
  <c r="G19" i="1"/>
  <c r="G22" i="1"/>
  <c r="E19" i="1"/>
  <c r="E24" i="5"/>
  <c r="E22" i="1"/>
  <c r="D19" i="1"/>
  <c r="D24" i="5"/>
  <c r="D22" i="1"/>
  <c r="C19" i="1"/>
  <c r="C24" i="5"/>
  <c r="C22" i="1"/>
  <c r="F15" i="1"/>
  <c r="H19" i="1"/>
  <c r="F14" i="1"/>
  <c r="B12" i="1"/>
  <c r="G20" i="1"/>
  <c r="E20" i="1"/>
  <c r="D20" i="1"/>
  <c r="E25" i="5"/>
  <c r="D25" i="5"/>
  <c r="C25" i="5"/>
  <c r="C48" i="1"/>
  <c r="C20" i="1"/>
  <c r="H20" i="1"/>
  <c r="E27" i="5" l="1"/>
  <c r="D27" i="5"/>
  <c r="C27" i="5"/>
</calcChain>
</file>

<file path=xl/sharedStrings.xml><?xml version="1.0" encoding="utf-8"?>
<sst xmlns="http://schemas.openxmlformats.org/spreadsheetml/2006/main" count="384" uniqueCount="293">
  <si>
    <t xml:space="preserve">  📅  우리 병원 기준 — 연도별 누적 절감 예상</t>
  </si>
  <si>
    <t xml:space="preserve">  💡  복지기금 출연 실익 — 왜 손해가 아닌가?</t>
  </si>
  <si>
    <t xml:space="preserve">  아래 수치는 메인 시트 입력값과 자동 연동됩니다.</t>
  </si>
  <si>
    <r>
      <t xml:space="preserve">  ① DC</t>
    </r>
    <r>
      <rPr>
        <b/>
        <sz val="11"/>
        <color rgb="FFFFFFFF"/>
        <rFont val="Noto Sans CJK SC"/>
      </rPr>
      <t>형 퇴직연금  —  퇴직금 분쟁 원천 차단</t>
    </r>
  </si>
  <si>
    <t xml:space="preserve">  💬  카카오톡: pf.kakao.com/_SxdxfxcG/chat</t>
  </si>
  <si>
    <t>전략</t>
  </si>
  <si>
    <t>합계</t>
  </si>
  <si>
    <t>금액</t>
  </si>
  <si>
    <t>설명</t>
  </si>
  <si>
    <r>
      <t>0</t>
    </r>
    <r>
      <rPr>
        <sz val="10"/>
        <color rgb="FF2D3748"/>
        <rFont val="Noto Sans CJK SC"/>
      </rPr>
      <t>건</t>
    </r>
  </si>
  <si>
    <r>
      <t>1</t>
    </r>
    <r>
      <rPr>
        <b/>
        <sz val="10"/>
        <color rgb="FFFFFFFF"/>
        <rFont val="Noto Sans CJK SC"/>
      </rPr>
      <t>년차</t>
    </r>
  </si>
  <si>
    <t>-</t>
  </si>
  <si>
    <t>단위</t>
  </si>
  <si>
    <r>
      <t>0</t>
    </r>
    <r>
      <rPr>
        <b/>
        <sz val="10"/>
        <color rgb="FF2D3748"/>
        <rFont val="Noto Sans CJK SC"/>
      </rPr>
      <t>건</t>
    </r>
  </si>
  <si>
    <t>항목</t>
  </si>
  <si>
    <t>비고</t>
  </si>
  <si>
    <t>법인</t>
  </si>
  <si>
    <t>식대</t>
  </si>
  <si>
    <t>구분</t>
  </si>
  <si>
    <t>누적</t>
  </si>
  <si>
    <t>만원</t>
  </si>
  <si>
    <r>
      <t>3</t>
    </r>
    <r>
      <rPr>
        <b/>
        <sz val="10"/>
        <color rgb="FFFFFFFF"/>
        <rFont val="Noto Sans CJK SC"/>
      </rPr>
      <t>년차</t>
    </r>
  </si>
  <si>
    <t>상황</t>
  </si>
  <si>
    <t>명</t>
  </si>
  <si>
    <t>—</t>
  </si>
  <si>
    <r>
      <t>2</t>
    </r>
    <r>
      <rPr>
        <b/>
        <sz val="10"/>
        <color rgb="FFFFFFFF"/>
        <rFont val="Noto Sans CJK SC"/>
      </rPr>
      <t>년차</t>
    </r>
  </si>
  <si>
    <r>
      <t>❓ "</t>
    </r>
    <r>
      <rPr>
        <b/>
        <sz val="10"/>
        <color rgb="FFFFFFFF"/>
        <rFont val="Noto Sans CJK SC"/>
      </rPr>
      <t>그로스로 바꾸면 저 손해 아닌가요</t>
    </r>
    <r>
      <rPr>
        <b/>
        <sz val="10"/>
        <color rgb="FFFFFFFF"/>
        <rFont val="Arial"/>
        <family val="2"/>
      </rPr>
      <t>?"</t>
    </r>
  </si>
  <si>
    <t>실수령 동일 + 개인 절세 184만원 추가</t>
  </si>
  <si>
    <t xml:space="preserve">  고민 사항 (해당 항목에 ✓ 표시)</t>
  </si>
  <si>
    <t>□  세금이 너무 많이 나와서 줄이고 싶다</t>
  </si>
  <si>
    <t>예) ○○내과, 강남병원 등 (익명 가능)</t>
  </si>
  <si>
    <t>□  페이닥터 퇴직금 분쟁이 걱정된다</t>
  </si>
  <si>
    <r>
      <t>18</t>
    </r>
    <r>
      <rPr>
        <sz val="10"/>
        <color rgb="FF2D3748"/>
        <rFont val="Noto Sans CJK SC"/>
      </rPr>
      <t xml:space="preserve">억원  </t>
    </r>
    <r>
      <rPr>
        <sz val="10"/>
        <color rgb="FF2D3748"/>
        <rFont val="Arial"/>
        <family val="2"/>
      </rPr>
      <t>(</t>
    </r>
    <r>
      <rPr>
        <sz val="10"/>
        <color rgb="FF2D3748"/>
        <rFont val="Noto Sans CJK SC"/>
      </rPr>
      <t xml:space="preserve">순수익 </t>
    </r>
    <r>
      <rPr>
        <sz val="10"/>
        <color rgb="FF2D3748"/>
        <rFont val="Arial"/>
        <family val="2"/>
      </rPr>
      <t>3</t>
    </r>
    <r>
      <rPr>
        <sz val="10"/>
        <color rgb="FF2D3748"/>
        <rFont val="Noto Sans CJK SC"/>
      </rPr>
      <t xml:space="preserve">억 </t>
    </r>
    <r>
      <rPr>
        <sz val="10"/>
        <color rgb="FF2D3748"/>
        <rFont val="Arial"/>
        <family val="2"/>
      </rPr>
      <t>5,000</t>
    </r>
    <r>
      <rPr>
        <sz val="10"/>
        <color rgb="FF2D3748"/>
        <rFont val="Noto Sans CJK SC"/>
      </rPr>
      <t>만원</t>
    </r>
    <r>
      <rPr>
        <sz val="10"/>
        <color rgb="FF2D3748"/>
        <rFont val="Arial"/>
        <family val="2"/>
      </rPr>
      <t>)</t>
    </r>
  </si>
  <si>
    <t>예) 약 1,200만원, 1,500만원 등</t>
  </si>
  <si>
    <r>
      <t>❓ "</t>
    </r>
    <r>
      <rPr>
        <b/>
        <sz val="10"/>
        <color rgb="FFFFFFFF"/>
        <rFont val="Noto Sans CJK SC"/>
      </rPr>
      <t>다른 병원 원장들도 이렇게 해요</t>
    </r>
    <r>
      <rPr>
        <b/>
        <sz val="10"/>
        <color rgb="FFFFFFFF"/>
        <rFont val="Arial"/>
        <family val="2"/>
      </rPr>
      <t>?"</t>
    </r>
  </si>
  <si>
    <r>
      <t>2</t>
    </r>
    <r>
      <rPr>
        <sz val="10"/>
        <color rgb="FF2D3748"/>
        <rFont val="Noto Sans CJK SC"/>
      </rPr>
      <t xml:space="preserve">명  </t>
    </r>
    <r>
      <rPr>
        <sz val="10"/>
        <color rgb="FF2D3748"/>
        <rFont val="Arial"/>
        <family val="2"/>
      </rPr>
      <t xml:space="preserve">(NET → GROSS </t>
    </r>
    <r>
      <rPr>
        <sz val="10"/>
        <color rgb="FF2D3748"/>
        <rFont val="Noto Sans CJK SC"/>
      </rPr>
      <t>전환 완료</t>
    </r>
    <r>
      <rPr>
        <sz val="10"/>
        <color rgb="FF2D3748"/>
        <rFont val="Arial"/>
        <family val="2"/>
      </rPr>
      <t>)</t>
    </r>
  </si>
  <si>
    <r>
      <t>1</t>
    </r>
    <r>
      <rPr>
        <sz val="10"/>
        <color rgb="FF2D3748"/>
        <rFont val="Noto Sans CJK SC"/>
      </rPr>
      <t xml:space="preserve">명  </t>
    </r>
    <r>
      <rPr>
        <sz val="10"/>
        <color rgb="FF2D3748"/>
        <rFont val="Arial"/>
        <family val="2"/>
      </rPr>
      <t xml:space="preserve">(NET → GROSS </t>
    </r>
    <r>
      <rPr>
        <sz val="10"/>
        <color rgb="FF2D3748"/>
        <rFont val="Noto Sans CJK SC"/>
      </rPr>
      <t>전환 완료</t>
    </r>
    <r>
      <rPr>
        <sz val="10"/>
        <color rgb="FF2D3748"/>
        <rFont val="Arial"/>
        <family val="2"/>
      </rPr>
      <t>)</t>
    </r>
  </si>
  <si>
    <r>
      <t xml:space="preserve">소득세 </t>
    </r>
    <r>
      <rPr>
        <sz val="10"/>
        <color rgb="FF2D3748"/>
        <rFont val="Arial"/>
        <family val="2"/>
      </rPr>
      <t>6.6%~49.5%
(</t>
    </r>
    <r>
      <rPr>
        <sz val="10"/>
        <color rgb="FF2D3748"/>
        <rFont val="Noto Sans CJK SC"/>
      </rPr>
      <t>지방세 포함</t>
    </r>
    <r>
      <rPr>
        <sz val="10"/>
        <color rgb="FF2D3748"/>
        <rFont val="Arial"/>
        <family val="2"/>
      </rPr>
      <t>)</t>
    </r>
  </si>
  <si>
    <t>만원/년  / 출연액 × 30% (보수적)</t>
  </si>
  <si>
    <t>실수령액 기준 분쟁
(법적으로 다툼 가능)</t>
  </si>
  <si>
    <r>
      <t xml:space="preserve">법인 전환 시 세율 약 </t>
    </r>
    <r>
      <rPr>
        <i/>
        <sz val="9"/>
        <color rgb="FF718096"/>
        <rFont val="Arial"/>
        <family val="2"/>
      </rPr>
      <t xml:space="preserve">22%p </t>
    </r>
    <r>
      <rPr>
        <i/>
        <sz val="9"/>
        <color rgb="FF718096"/>
        <rFont val="Noto Sans CJK SC"/>
      </rPr>
      <t>감소</t>
    </r>
  </si>
  <si>
    <r>
      <t>"</t>
    </r>
    <r>
      <rPr>
        <b/>
        <sz val="10"/>
        <color rgb="FF2D3748"/>
        <rFont val="Noto Sans CJK SC"/>
      </rPr>
      <t>선생님</t>
    </r>
    <r>
      <rPr>
        <b/>
        <sz val="10"/>
        <color rgb="FF2D3748"/>
        <rFont val="Arial"/>
        <family val="2"/>
      </rPr>
      <t xml:space="preserve">, </t>
    </r>
    <r>
      <rPr>
        <b/>
        <sz val="10"/>
        <color rgb="FF2D3748"/>
        <rFont val="Noto Sans CJK SC"/>
      </rPr>
      <t>저도 지금 급여 구조 공부하고 있는데요</t>
    </r>
    <r>
      <rPr>
        <b/>
        <sz val="10"/>
        <color rgb="FF2D3748"/>
        <rFont val="Arial"/>
        <family val="2"/>
      </rPr>
      <t xml:space="preserve">.
</t>
    </r>
    <r>
      <rPr>
        <b/>
        <sz val="10"/>
        <color rgb="FF2D3748"/>
        <rFont val="Noto Sans CJK SC"/>
      </rPr>
      <t>지금 네트 계약이 선생님한테도 사실 좋은 건지 한번 같이 확인해보고 싶어서요</t>
    </r>
    <r>
      <rPr>
        <b/>
        <sz val="10"/>
        <color rgb="FF2D3748"/>
        <rFont val="Arial"/>
        <family val="2"/>
      </rPr>
      <t>.
10</t>
    </r>
    <r>
      <rPr>
        <b/>
        <sz val="10"/>
        <color rgb="FF2D3748"/>
        <rFont val="Noto Sans CJK SC"/>
      </rPr>
      <t>분만 시간 되실까요</t>
    </r>
    <r>
      <rPr>
        <b/>
        <sz val="10"/>
        <color rgb="FF2D3748"/>
        <rFont val="Arial"/>
        <family val="2"/>
      </rPr>
      <t>?"</t>
    </r>
  </si>
  <si>
    <t>연금저축 + IRP 세액공제</t>
  </si>
  <si>
    <t>연봉 1/12 적립 → 확정</t>
  </si>
  <si>
    <t>법인세 절감 (§19)</t>
  </si>
  <si>
    <r>
      <t xml:space="preserve">GROSS </t>
    </r>
    <r>
      <rPr>
        <sz val="10"/>
        <color rgb="FF2D3748"/>
        <rFont val="Noto Sans CJK SC"/>
      </rPr>
      <t>전환 누적절감</t>
    </r>
  </si>
  <si>
    <t>월 평균 실수령 (대략)</t>
  </si>
  <si>
    <t>노무 리스크 완전 제거</t>
  </si>
  <si>
    <r>
      <t xml:space="preserve">드롭다운에서 </t>
    </r>
    <r>
      <rPr>
        <i/>
        <sz val="9"/>
        <color rgb="FF718096"/>
        <rFont val="Arial"/>
        <family val="2"/>
      </rPr>
      <t>'</t>
    </r>
    <r>
      <rPr>
        <i/>
        <sz val="9"/>
        <color rgb="FF718096"/>
        <rFont val="Noto Sans CJK SC"/>
      </rPr>
      <t>법인</t>
    </r>
    <r>
      <rPr>
        <i/>
        <sz val="9"/>
        <color rgb="FF718096"/>
        <rFont val="Arial"/>
        <family val="2"/>
      </rPr>
      <t xml:space="preserve">' </t>
    </r>
    <r>
      <rPr>
        <i/>
        <sz val="9"/>
        <color rgb="FF718096"/>
        <rFont val="Noto Sans CJK SC"/>
      </rPr>
      <t>선택</t>
    </r>
  </si>
  <si>
    <t>해당자만 / 조특법 §16</t>
  </si>
  <si>
    <t>순수익 구조에 따라 상이</t>
  </si>
  <si>
    <t xml:space="preserve">  추가 메모 (선택)</t>
  </si>
  <si>
    <t>병원명 (또는 닉네임)</t>
  </si>
  <si>
    <t>연금 또는 일시금 선택</t>
  </si>
  <si>
    <r>
      <t xml:space="preserve">순수익 </t>
    </r>
    <r>
      <rPr>
        <b/>
        <sz val="10"/>
        <color rgb="FF2D3748"/>
        <rFont val="Arial"/>
        <family val="2"/>
      </rPr>
      <t>3</t>
    </r>
    <r>
      <rPr>
        <b/>
        <sz val="10"/>
        <color rgb="FF2D3748"/>
        <rFont val="Noto Sans CJK SC"/>
      </rPr>
      <t>억 적용 세율</t>
    </r>
  </si>
  <si>
    <t>✅ 절감액 (①번 항목)</t>
  </si>
  <si>
    <t>네트→그로스 전환 세금 절감</t>
  </si>
  <si>
    <t>법인 입력 시 자동 계산됨</t>
  </si>
  <si>
    <r>
      <t xml:space="preserve">NET </t>
    </r>
    <r>
      <rPr>
        <i/>
        <sz val="10"/>
        <color rgb="FF718096"/>
        <rFont val="Noto Sans CJK SC"/>
      </rPr>
      <t xml:space="preserve">계약 </t>
    </r>
    <r>
      <rPr>
        <i/>
        <sz val="10"/>
        <color rgb="FF718096"/>
        <rFont val="Arial"/>
        <family val="2"/>
      </rPr>
      <t xml:space="preserve">/ GROSS </t>
    </r>
    <r>
      <rPr>
        <i/>
        <sz val="10"/>
        <color rgb="FF718096"/>
        <rFont val="Noto Sans CJK SC"/>
      </rPr>
      <t xml:space="preserve">계약 </t>
    </r>
    <r>
      <rPr>
        <i/>
        <sz val="10"/>
        <color rgb="FF718096"/>
        <rFont val="Arial"/>
        <family val="2"/>
      </rPr>
      <t xml:space="preserve">/ </t>
    </r>
    <r>
      <rPr>
        <i/>
        <sz val="10"/>
        <color rgb="FF718096"/>
        <rFont val="Noto Sans CJK SC"/>
      </rPr>
      <t xml:space="preserve">혼합 </t>
    </r>
    <r>
      <rPr>
        <i/>
        <sz val="10"/>
        <color rgb="FF718096"/>
        <rFont val="Arial"/>
        <family val="2"/>
      </rPr>
      <t>(</t>
    </r>
    <r>
      <rPr>
        <i/>
        <sz val="10"/>
        <color rgb="FF718096"/>
        <rFont val="Noto Sans CJK SC"/>
      </rPr>
      <t>해당 항목에 ○ 표시</t>
    </r>
    <r>
      <rPr>
        <i/>
        <sz val="10"/>
        <color rgb="FF718096"/>
        <rFont val="Arial"/>
        <family val="2"/>
      </rPr>
      <t>)</t>
    </r>
  </si>
  <si>
    <t xml:space="preserve">  페이닥터 선생님 설득 스크립트  —  원장님이 직접 쓰실 수 있도록</t>
  </si>
  <si>
    <t xml:space="preserve">  ※ 메인 시트 입력값을 변경하면 위 수치가 자동 업데이트됩니다.</t>
  </si>
  <si>
    <r>
      <t>❓ "</t>
    </r>
    <r>
      <rPr>
        <b/>
        <sz val="10"/>
        <color rgb="FFFFFFFF"/>
        <rFont val="Noto Sans CJK SC"/>
      </rPr>
      <t>퇴직금은요</t>
    </r>
    <r>
      <rPr>
        <b/>
        <sz val="10"/>
        <color rgb="FFFFFFFF"/>
        <rFont val="Arial"/>
        <family val="2"/>
      </rPr>
      <t xml:space="preserve">? </t>
    </r>
    <r>
      <rPr>
        <b/>
        <sz val="10"/>
        <color rgb="FFFFFFFF"/>
        <rFont val="Noto Sans CJK SC"/>
      </rPr>
      <t>그로스 기준이면 더 적어지지 않나요</t>
    </r>
    <r>
      <rPr>
        <b/>
        <sz val="10"/>
        <color rgb="FFFFFFFF"/>
        <rFont val="Arial"/>
        <family val="2"/>
      </rPr>
      <t>?"</t>
    </r>
  </si>
  <si>
    <r>
      <t xml:space="preserve">  STEP 3  |  </t>
    </r>
    <r>
      <rPr>
        <b/>
        <sz val="11"/>
        <color rgb="FFFFFFFF"/>
        <rFont val="Noto Sans CJK SC"/>
      </rPr>
      <t>마무리 — 선생님 동의 이끌어내기</t>
    </r>
  </si>
  <si>
    <t>예) 약 3억원, 5억원 등 (정확하지 않아도 됩니다)</t>
  </si>
  <si>
    <t xml:space="preserve">  📤  이 파일을 저장 후 카카오톡으로 전송해주세요</t>
  </si>
  <si>
    <t>□  페이닥터를 그로스로 전환하고 싶은데 방법을 모른다</t>
  </si>
  <si>
    <t xml:space="preserve">  ※ 수집된 정보는 급여구조 진단 목적으로만 사용되며 외부에 제공되지 않습니다.</t>
  </si>
  <si>
    <t>선생님 실수령은 그대로예요. 병원 부담은 오히려 줄어들어요.
바꾸기 전에 선생님한테 먼저 이 자료(페이닥터 절세전략) 보여드리면
'나한테도 좋네요'가 되거든요.
관계가 불편해지는 게 아니라 오히려 더 신뢰가 생기는 경우가 많아요.</t>
  </si>
  <si>
    <t xml:space="preserve">  사례 C  |  서울 C 피부과 (원장님 요청으로 익명)</t>
  </si>
  <si>
    <r>
      <t xml:space="preserve">  DC</t>
    </r>
    <r>
      <rPr>
        <b/>
        <sz val="14"/>
        <color rgb="FFFFFFFF"/>
        <rFont val="Noto Sans CJK SC"/>
      </rPr>
      <t xml:space="preserve">형 퇴직연금 </t>
    </r>
    <r>
      <rPr>
        <b/>
        <sz val="14"/>
        <color rgb="FFFFFFFF"/>
        <rFont val="Arial"/>
        <family val="2"/>
      </rPr>
      <t xml:space="preserve">+ </t>
    </r>
    <r>
      <rPr>
        <b/>
        <sz val="14"/>
        <color rgb="FFFFFFFF"/>
        <rFont val="Noto Sans CJK SC"/>
      </rPr>
      <t>사내근로복지기금  —  상세 설계 가이드</t>
    </r>
  </si>
  <si>
    <r>
      <t xml:space="preserve">  📝  USP Company </t>
    </r>
    <r>
      <rPr>
        <b/>
        <sz val="15"/>
        <color rgb="FFFFFFFF"/>
        <rFont val="Noto Sans CJK SC"/>
      </rPr>
      <t>급여구조 무료 진단 신청서</t>
    </r>
  </si>
  <si>
    <r>
      <t xml:space="preserve">  STEP 1  |  </t>
    </r>
    <r>
      <rPr>
        <b/>
        <sz val="11"/>
        <color rgb="FFFFFFFF"/>
        <rFont val="Noto Sans CJK SC"/>
      </rPr>
      <t>첫 대화 — 거부감 없이 꺼내는 방법</t>
    </r>
  </si>
  <si>
    <t xml:space="preserve">  사례 B  |  경기도 B 내과 (원장님 요청으로 익명)</t>
  </si>
  <si>
    <r>
      <t xml:space="preserve">  🏢  법인 </t>
    </r>
    <r>
      <rPr>
        <b/>
        <sz val="11"/>
        <color rgb="FFFFFFFF"/>
        <rFont val="Arial"/>
        <family val="2"/>
      </rPr>
      <t xml:space="preserve">vs </t>
    </r>
    <r>
      <rPr>
        <b/>
        <sz val="11"/>
        <color rgb="FFFFFFFF"/>
        <rFont val="Noto Sans CJK SC"/>
      </rPr>
      <t>개인사업자 — 병원 유형별 절세 효과 비교</t>
    </r>
  </si>
  <si>
    <t xml:space="preserve">  📞  우리 병원 맞춤 설계 상담  |  전화 1533-6441  |  카카오톡 pf.kakao.com/_SxdxfxcG</t>
  </si>
  <si>
    <t xml:space="preserve">  그로스 전환 후 페이닥터 선생님이 직접 챙길 수 있는 절세 전략입니다.  병원이 안내해드리면 전환 설득에도 효과적입니다.</t>
  </si>
  <si>
    <t xml:space="preserve">  ✏️  노란색 셀 5개만 입력하세요  →  우리 병원 절감액이 바로 계산됩니다</t>
  </si>
  <si>
    <r>
      <t>5</t>
    </r>
    <r>
      <rPr>
        <sz val="10"/>
        <color rgb="FF2D3748"/>
        <rFont val="Noto Sans CJK SC"/>
      </rPr>
      <t>월 종합소득세 신고 한 번이에요</t>
    </r>
    <r>
      <rPr>
        <sz val="10"/>
        <color rgb="FF2D3748"/>
        <rFont val="Arial"/>
        <family val="2"/>
      </rPr>
      <t xml:space="preserve">.
</t>
    </r>
    <r>
      <rPr>
        <sz val="10"/>
        <color rgb="FF2D3748"/>
        <rFont val="Noto Sans CJK SC"/>
      </rPr>
      <t xml:space="preserve">세무사 비용 </t>
    </r>
    <r>
      <rPr>
        <sz val="10"/>
        <color rgb="FF2D3748"/>
        <rFont val="Arial"/>
        <family val="2"/>
      </rPr>
      <t>20~30</t>
    </r>
    <r>
      <rPr>
        <sz val="10"/>
        <color rgb="FF2D3748"/>
        <rFont val="Noto Sans CJK SC"/>
      </rPr>
      <t>만원 정도면 다 처리해드려요</t>
    </r>
    <r>
      <rPr>
        <sz val="10"/>
        <color rgb="FF2D3748"/>
        <rFont val="Arial"/>
        <family val="2"/>
      </rPr>
      <t xml:space="preserve">.
</t>
    </r>
    <r>
      <rPr>
        <sz val="10"/>
        <color rgb="FF2D3748"/>
        <rFont val="Noto Sans CJK SC"/>
      </rPr>
      <t xml:space="preserve">연 </t>
    </r>
    <r>
      <rPr>
        <sz val="10"/>
        <color rgb="FF2D3748"/>
        <rFont val="Arial"/>
        <family val="2"/>
      </rPr>
      <t>184</t>
    </r>
    <r>
      <rPr>
        <sz val="10"/>
        <color rgb="FF2D3748"/>
        <rFont val="Noto Sans CJK SC"/>
      </rPr>
      <t xml:space="preserve">만원 절세에서 </t>
    </r>
    <r>
      <rPr>
        <sz val="10"/>
        <color rgb="FF2D3748"/>
        <rFont val="Arial"/>
        <family val="2"/>
      </rPr>
      <t>30</t>
    </r>
    <r>
      <rPr>
        <sz val="10"/>
        <color rgb="FF2D3748"/>
        <rFont val="Noto Sans CJK SC"/>
      </rPr>
      <t xml:space="preserve">만원 빼도 </t>
    </r>
    <r>
      <rPr>
        <sz val="10"/>
        <color rgb="FF2D3748"/>
        <rFont val="Arial"/>
        <family val="2"/>
      </rPr>
      <t>150</t>
    </r>
    <r>
      <rPr>
        <sz val="10"/>
        <color rgb="FF2D3748"/>
        <rFont val="Noto Sans CJK SC"/>
      </rPr>
      <t>만원 이득이에요</t>
    </r>
    <r>
      <rPr>
        <sz val="10"/>
        <color rgb="FF2D3748"/>
        <rFont val="Arial"/>
        <family val="2"/>
      </rPr>
      <t>.</t>
    </r>
  </si>
  <si>
    <r>
      <t>12</t>
    </r>
    <r>
      <rPr>
        <sz val="10"/>
        <color rgb="FF2D3748"/>
        <rFont val="Noto Sans CJK SC"/>
      </rPr>
      <t xml:space="preserve">억원  </t>
    </r>
    <r>
      <rPr>
        <sz val="10"/>
        <color rgb="FF2D3748"/>
        <rFont val="Arial"/>
        <family val="2"/>
      </rPr>
      <t>(</t>
    </r>
    <r>
      <rPr>
        <sz val="10"/>
        <color rgb="FF2D3748"/>
        <rFont val="Noto Sans CJK SC"/>
      </rPr>
      <t xml:space="preserve">순수익 </t>
    </r>
    <r>
      <rPr>
        <sz val="10"/>
        <color rgb="FF2D3748"/>
        <rFont val="Arial"/>
        <family val="2"/>
      </rPr>
      <t>2</t>
    </r>
    <r>
      <rPr>
        <sz val="10"/>
        <color rgb="FF2D3748"/>
        <rFont val="Noto Sans CJK SC"/>
      </rPr>
      <t>억원</t>
    </r>
    <r>
      <rPr>
        <sz val="10"/>
        <color rgb="FF2D3748"/>
        <rFont val="Arial"/>
        <family val="2"/>
      </rPr>
      <t>)</t>
    </r>
  </si>
  <si>
    <t>지금 네트 계약이면 퇴직금 기준이 오히려 불명확해요.
'내가 받은 1,500만원 기준으로 달라'고 하면 법적으로 다툼이 생겨요.
그로스로 바꾸면 세전 계약서에 명시되니까 기준이 명확해지고
DC형 연금으로 매년 적립되니 선생님한테 더 안전합니다.</t>
  </si>
  <si>
    <r>
      <t>"</t>
    </r>
    <r>
      <rPr>
        <i/>
        <sz val="11"/>
        <color rgb="FF0D2137"/>
        <rFont val="Noto Sans CJK SC"/>
      </rPr>
      <t xml:space="preserve">처음에는 세무조사가 무서워서 </t>
    </r>
    <r>
      <rPr>
        <i/>
        <sz val="11"/>
        <color rgb="FF0D2137"/>
        <rFont val="Arial"/>
        <family val="2"/>
      </rPr>
      <t>3</t>
    </r>
    <r>
      <rPr>
        <i/>
        <sz val="11"/>
        <color rgb="FF0D2137"/>
        <rFont val="Noto Sans CJK SC"/>
      </rPr>
      <t>년을 망설였습니다</t>
    </r>
    <r>
      <rPr>
        <i/>
        <sz val="11"/>
        <color rgb="FF0D2137"/>
        <rFont val="Arial"/>
        <family val="2"/>
      </rPr>
      <t xml:space="preserve">.
</t>
    </r>
    <r>
      <rPr>
        <i/>
        <sz val="11"/>
        <color rgb="FF0D2137"/>
        <rFont val="Noto Sans CJK SC"/>
      </rPr>
      <t>그런데 실제로 구조를 만들고 나니</t>
    </r>
    <r>
      <rPr>
        <i/>
        <sz val="11"/>
        <color rgb="FF0D2137"/>
        <rFont val="Arial"/>
        <family val="2"/>
      </rPr>
      <t xml:space="preserve">, </t>
    </r>
    <r>
      <rPr>
        <i/>
        <sz val="11"/>
        <color rgb="FF0D2137"/>
        <rFont val="Noto Sans CJK SC"/>
      </rPr>
      <t>세무 리스크가 완전히 사라졌습니다</t>
    </r>
    <r>
      <rPr>
        <i/>
        <sz val="11"/>
        <color rgb="FF0D2137"/>
        <rFont val="Arial"/>
        <family val="2"/>
      </rPr>
      <t xml:space="preserve">.
</t>
    </r>
    <r>
      <rPr>
        <i/>
        <sz val="11"/>
        <color rgb="FF0D2137"/>
        <rFont val="Noto Sans CJK SC"/>
      </rPr>
      <t>퇴직금 분쟁 걱정도 없어졌고</t>
    </r>
    <r>
      <rPr>
        <i/>
        <sz val="11"/>
        <color rgb="FF0D2137"/>
        <rFont val="Arial"/>
        <family val="2"/>
      </rPr>
      <t>, 3</t>
    </r>
    <r>
      <rPr>
        <i/>
        <sz val="11"/>
        <color rgb="FF0D2137"/>
        <rFont val="Noto Sans CJK SC"/>
      </rPr>
      <t xml:space="preserve">년간 아낀 </t>
    </r>
    <r>
      <rPr>
        <i/>
        <sz val="11"/>
        <color rgb="FF0D2137"/>
        <rFont val="Arial"/>
        <family val="2"/>
      </rPr>
      <t>4</t>
    </r>
    <r>
      <rPr>
        <i/>
        <sz val="11"/>
        <color rgb="FF0D2137"/>
        <rFont val="Noto Sans CJK SC"/>
      </rPr>
      <t xml:space="preserve">억 </t>
    </r>
    <r>
      <rPr>
        <i/>
        <sz val="11"/>
        <color rgb="FF0D2137"/>
        <rFont val="Arial"/>
        <family val="2"/>
      </rPr>
      <t>7,900</t>
    </r>
    <r>
      <rPr>
        <i/>
        <sz val="11"/>
        <color rgb="FF0D2137"/>
        <rFont val="Noto Sans CJK SC"/>
      </rPr>
      <t>만원을 보면 진작 할 걸 싶습니다</t>
    </r>
    <r>
      <rPr>
        <i/>
        <sz val="11"/>
        <color rgb="FF0D2137"/>
        <rFont val="Arial"/>
        <family val="2"/>
      </rPr>
      <t xml:space="preserve">."
— </t>
    </r>
    <r>
      <rPr>
        <i/>
        <sz val="11"/>
        <color rgb="FF0D2137"/>
        <rFont val="Noto Sans CJK SC"/>
      </rPr>
      <t xml:space="preserve">강남 </t>
    </r>
    <r>
      <rPr>
        <i/>
        <sz val="11"/>
        <color rgb="FF0D2137"/>
        <rFont val="Arial"/>
        <family val="2"/>
      </rPr>
      <t>A</t>
    </r>
    <r>
      <rPr>
        <i/>
        <sz val="11"/>
        <color rgb="FF0D2137"/>
        <rFont val="Noto Sans CJK SC"/>
      </rPr>
      <t xml:space="preserve">피부과 원장님 </t>
    </r>
    <r>
      <rPr>
        <i/>
        <sz val="11"/>
        <color rgb="FF0D2137"/>
        <rFont val="Arial"/>
        <family val="2"/>
      </rPr>
      <t>(</t>
    </r>
    <r>
      <rPr>
        <i/>
        <sz val="11"/>
        <color rgb="FF0D2137"/>
        <rFont val="Noto Sans CJK SC"/>
      </rPr>
      <t>익명</t>
    </r>
    <r>
      <rPr>
        <i/>
        <sz val="11"/>
        <color rgb="FF0D2137"/>
        <rFont val="Arial"/>
        <family val="2"/>
      </rPr>
      <t>)</t>
    </r>
  </si>
  <si>
    <t>지금 네트 1,500만원이면 그로스로 바꿔도 실수령은 동일하게 맞춰드립니다.
차이는 선생님이 직접 세금 신고하게 되는 것뿐이에요.
그런데 그게 오히려 유리해요. 연금저축·IRP로 연간 184만원 절세가 생기거든요.
지금 네트에서는 이 혜택을 못 받으세요.</t>
  </si>
  <si>
    <t xml:space="preserve">  ※ 본 수치는 2026년 세율 기준 추정값입니다. 정확한 절감액은 USP 전문가 진단을 통해 확인하세요.</t>
  </si>
  <si>
    <r>
      <t xml:space="preserve">  📞  USP Company  |  </t>
    </r>
    <r>
      <rPr>
        <b/>
        <sz val="10"/>
        <color rgb="FFFFFFFF"/>
        <rFont val="Noto Sans CJK SC"/>
      </rPr>
      <t xml:space="preserve">전화 </t>
    </r>
    <r>
      <rPr>
        <b/>
        <sz val="10"/>
        <color rgb="FFFFFFFF"/>
        <rFont val="Arial"/>
        <family val="2"/>
      </rPr>
      <t>1533-6441  |  pf.kakao.com/_SxdxfxcG</t>
    </r>
  </si>
  <si>
    <t xml:space="preserve">  ※ 위 수치는 현재 입력값 기준 추정입니다. 실제 절감액은 USP 전문가 진단을 통해 정확히 산출합니다.</t>
  </si>
  <si>
    <t xml:space="preserve">  ② 절세 전략별 연간 효과  (시나리오별)</t>
  </si>
  <si>
    <t>선생님이 아무 반응 없을 때 — 처음 꺼낼 때</t>
  </si>
  <si>
    <t>그로스 = 퇴직금 기준 명확 + DC형 연금 적립</t>
  </si>
  <si>
    <t xml:space="preserve">  ※ ④는 페이닥터 개인 절세 (총합 미포함)</t>
  </si>
  <si>
    <r>
      <t xml:space="preserve">NET </t>
    </r>
    <r>
      <rPr>
        <sz val="10"/>
        <color rgb="FFC0392B"/>
        <rFont val="Noto Sans CJK SC"/>
      </rPr>
      <t>기준 청구 가능
→ 소송 리스크 상존</t>
    </r>
  </si>
  <si>
    <t>계약서에 세전 기준 명시
(다툼 자체 불가)</t>
  </si>
  <si>
    <r>
      <t>USP</t>
    </r>
    <r>
      <rPr>
        <sz val="10"/>
        <color rgb="FF2D3748"/>
        <rFont val="Noto Sans CJK SC"/>
      </rPr>
      <t xml:space="preserve">에서 도입한 병원만 </t>
    </r>
    <r>
      <rPr>
        <sz val="10"/>
        <color rgb="FF2D3748"/>
        <rFont val="Arial"/>
        <family val="2"/>
      </rPr>
      <t>47</t>
    </r>
    <r>
      <rPr>
        <sz val="10"/>
        <color rgb="FF2D3748"/>
        <rFont val="Noto Sans CJK SC"/>
      </rPr>
      <t xml:space="preserve">개고 </t>
    </r>
    <r>
      <rPr>
        <sz val="10"/>
        <color rgb="FF2D3748"/>
        <rFont val="Arial"/>
        <family val="2"/>
      </rPr>
      <t>2019</t>
    </r>
    <r>
      <rPr>
        <sz val="10"/>
        <color rgb="FF2D3748"/>
        <rFont val="Noto Sans CJK SC"/>
      </rPr>
      <t xml:space="preserve">년부터 추징 </t>
    </r>
    <r>
      <rPr>
        <sz val="10"/>
        <color rgb="FF2D3748"/>
        <rFont val="Arial"/>
        <family val="2"/>
      </rPr>
      <t>0</t>
    </r>
    <r>
      <rPr>
        <sz val="10"/>
        <color rgb="FF2D3748"/>
        <rFont val="Noto Sans CJK SC"/>
      </rPr>
      <t>건이에요</t>
    </r>
    <r>
      <rPr>
        <sz val="10"/>
        <color rgb="FF2D3748"/>
        <rFont val="Arial"/>
        <family val="2"/>
      </rPr>
      <t xml:space="preserve">.
</t>
    </r>
    <r>
      <rPr>
        <sz val="10"/>
        <color rgb="FF2D3748"/>
        <rFont val="Noto Sans CJK SC"/>
      </rPr>
      <t xml:space="preserve">강남 피부과 원장님도 처음에 세무조사 걱정하셨는데
</t>
    </r>
    <r>
      <rPr>
        <sz val="10"/>
        <color rgb="FF2D3748"/>
        <rFont val="Arial"/>
        <family val="2"/>
      </rPr>
      <t>3</t>
    </r>
    <r>
      <rPr>
        <sz val="10"/>
        <color rgb="FF2D3748"/>
        <rFont val="Noto Sans CJK SC"/>
      </rPr>
      <t xml:space="preserve">년간 </t>
    </r>
    <r>
      <rPr>
        <sz val="10"/>
        <color rgb="FF2D3748"/>
        <rFont val="Arial"/>
        <family val="2"/>
      </rPr>
      <t>4</t>
    </r>
    <r>
      <rPr>
        <sz val="10"/>
        <color rgb="FF2D3748"/>
        <rFont val="Noto Sans CJK SC"/>
      </rPr>
      <t xml:space="preserve">억 </t>
    </r>
    <r>
      <rPr>
        <sz val="10"/>
        <color rgb="FF2D3748"/>
        <rFont val="Arial"/>
        <family val="2"/>
      </rPr>
      <t>7,900</t>
    </r>
    <r>
      <rPr>
        <sz val="10"/>
        <color rgb="FF2D3748"/>
        <rFont val="Noto Sans CJK SC"/>
      </rPr>
      <t>만원 절세하셨어요</t>
    </r>
    <r>
      <rPr>
        <sz val="10"/>
        <color rgb="FF2D3748"/>
        <rFont val="Arial"/>
        <family val="2"/>
      </rPr>
      <t xml:space="preserve">.
</t>
    </r>
    <r>
      <rPr>
        <sz val="10"/>
        <color rgb="FF2D3748"/>
        <rFont val="Noto Sans CJK SC"/>
      </rPr>
      <t>제가 자료 보여드릴게요</t>
    </r>
    <r>
      <rPr>
        <sz val="10"/>
        <color rgb="FF2D3748"/>
        <rFont val="Arial"/>
        <family val="2"/>
      </rPr>
      <t>.</t>
    </r>
  </si>
  <si>
    <r>
      <t xml:space="preserve">  💡  법인 전환 검토 중이시라면</t>
    </r>
    <r>
      <rPr>
        <b/>
        <sz val="10"/>
        <color rgb="FF1A5FA8"/>
        <rFont val="Arial"/>
        <family val="2"/>
      </rPr>
      <t xml:space="preserve">?  →  </t>
    </r>
    <r>
      <rPr>
        <b/>
        <sz val="10"/>
        <color rgb="FF1A5FA8"/>
        <rFont val="Noto Sans CJK SC"/>
      </rPr>
      <t xml:space="preserve">위 드롭다운에서 </t>
    </r>
    <r>
      <rPr>
        <b/>
        <sz val="10"/>
        <color rgb="FF1A5FA8"/>
        <rFont val="Arial"/>
        <family val="2"/>
      </rPr>
      <t>'</t>
    </r>
    <r>
      <rPr>
        <b/>
        <sz val="10"/>
        <color rgb="FF1A5FA8"/>
        <rFont val="Noto Sans CJK SC"/>
      </rPr>
      <t>법인</t>
    </r>
    <r>
      <rPr>
        <b/>
        <sz val="10"/>
        <color rgb="FF1A5FA8"/>
        <rFont val="Arial"/>
        <family val="2"/>
      </rPr>
      <t xml:space="preserve">' </t>
    </r>
    <r>
      <rPr>
        <b/>
        <sz val="10"/>
        <color rgb="FF1A5FA8"/>
        <rFont val="Noto Sans CJK SC"/>
      </rPr>
      <t>선택 시 법인세율로 절감액이 자동 재계산됩니다</t>
    </r>
    <r>
      <rPr>
        <b/>
        <sz val="10"/>
        <color rgb="FF1A5FA8"/>
        <rFont val="Arial"/>
        <family val="2"/>
      </rPr>
      <t xml:space="preserve">. </t>
    </r>
    <r>
      <rPr>
        <b/>
        <sz val="10"/>
        <color rgb="FF1A5FA8"/>
        <rFont val="Noto Sans CJK SC"/>
      </rPr>
      <t xml:space="preserve">정확한 법인 전환 효과는 </t>
    </r>
    <r>
      <rPr>
        <b/>
        <sz val="10"/>
        <color rgb="FF1A5FA8"/>
        <rFont val="Arial"/>
        <family val="2"/>
      </rPr>
      <t xml:space="preserve">USP </t>
    </r>
    <r>
      <rPr>
        <b/>
        <sz val="10"/>
        <color rgb="FF1A5FA8"/>
        <rFont val="Noto Sans CJK SC"/>
      </rPr>
      <t>무료 진단에서 산출해드립니다</t>
    </r>
    <r>
      <rPr>
        <b/>
        <sz val="10"/>
        <color rgb="FF1A5FA8"/>
        <rFont val="Arial"/>
        <family val="2"/>
      </rPr>
      <t>.</t>
    </r>
  </si>
  <si>
    <t xml:space="preserve">  페이닥터 급여구조 최적화 시뮬레이터  |  USP COMPANY</t>
  </si>
  <si>
    <t xml:space="preserve">  ② 복지기금 출연액 구간별 시뮬레이션  (세율 30% 보수적 기준)</t>
  </si>
  <si>
    <t xml:space="preserve">  페이닥터 개인 절세 전략  —  그로스 전환 후 바로 활용 가능</t>
  </si>
  <si>
    <t>자유롭게 작성해주세요. (현재 상황, 궁금한 점, 원하는 결과 등)</t>
  </si>
  <si>
    <r>
      <t>'</t>
    </r>
    <r>
      <rPr>
        <i/>
        <sz val="10"/>
        <color rgb="FF2D3748"/>
        <rFont val="Noto Sans CJK SC"/>
      </rPr>
      <t>병원이 바꾸고 싶다</t>
    </r>
    <r>
      <rPr>
        <i/>
        <sz val="10"/>
        <color rgb="FF2D3748"/>
        <rFont val="Arial"/>
        <family val="2"/>
      </rPr>
      <t>'</t>
    </r>
    <r>
      <rPr>
        <i/>
        <sz val="10"/>
        <color rgb="FF2D3748"/>
        <rFont val="Noto Sans CJK SC"/>
      </rPr>
      <t xml:space="preserve">가 아니라 </t>
    </r>
    <r>
      <rPr>
        <i/>
        <sz val="10"/>
        <color rgb="FF2D3748"/>
        <rFont val="Arial"/>
        <family val="2"/>
      </rPr>
      <t>'</t>
    </r>
    <r>
      <rPr>
        <i/>
        <sz val="10"/>
        <color rgb="FF2D3748"/>
        <rFont val="Noto Sans CJK SC"/>
      </rPr>
      <t>선생님한테도 좋은지 확인하자</t>
    </r>
    <r>
      <rPr>
        <i/>
        <sz val="10"/>
        <color rgb="FF2D3748"/>
        <rFont val="Arial"/>
        <family val="2"/>
      </rPr>
      <t>'</t>
    </r>
    <r>
      <rPr>
        <i/>
        <sz val="10"/>
        <color rgb="FF2D3748"/>
        <rFont val="Noto Sans CJK SC"/>
      </rPr>
      <t>는 프레임으로 시작
→ 선생님이 방어적으로 반응하지 않음</t>
    </r>
  </si>
  <si>
    <t xml:space="preserve">  ※ 절세율은 보수적 30% 기준 추정값입니다. 정확한 수치는 USP 무료 상담에서 산출해드립니다.</t>
  </si>
  <si>
    <t xml:space="preserve">  📞  USP Company  |  1533-6441  |  pf.kakao.com/_SxdxfxcG</t>
  </si>
  <si>
    <t xml:space="preserve">  ※ 적용 세율: 병원 유형(개인사업자/법인) × 연 순수익 기준 자동 적용  |  만원 단위 표시</t>
  </si>
  <si>
    <t xml:space="preserve">  ※ 벤처투자 소득공제는 조특법 §16 요건 충족 필요.  개인별 상황에 따라 실제 효과가 다릅니다.</t>
  </si>
  <si>
    <r>
      <t xml:space="preserve">  '</t>
    </r>
    <r>
      <rPr>
        <sz val="10"/>
        <color rgb="FFFFFFFF"/>
        <rFont val="Noto Sans CJK SC"/>
      </rPr>
      <t>그로스로 바꾸면 내가 손해 아닌가요</t>
    </r>
    <r>
      <rPr>
        <sz val="10"/>
        <color rgb="FFFFFFFF"/>
        <rFont val="Arial"/>
        <family val="2"/>
      </rPr>
      <t xml:space="preserve">?' — </t>
    </r>
    <r>
      <rPr>
        <sz val="10"/>
        <color rgb="FFFFFFFF"/>
        <rFont val="Noto Sans CJK SC"/>
      </rPr>
      <t>이 질문에 막히지 않도록 상황별 대응을 준비했습니다</t>
    </r>
    <r>
      <rPr>
        <sz val="10"/>
        <color rgb="FFFFFFFF"/>
        <rFont val="Arial"/>
        <family val="2"/>
      </rPr>
      <t>.</t>
    </r>
  </si>
  <si>
    <t xml:space="preserve">  📞  페이닥터 절세전략 상담  |  1533-6441  |  pf.kakao.com/_SxdxfxcG</t>
  </si>
  <si>
    <t xml:space="preserve">  아래 내용을 작성하신 후 카카오톡으로 보내주세요 → pf.kakao.com/_SxdxfxcG/chat</t>
  </si>
  <si>
    <t xml:space="preserve">  💡  내가 입력한 값 기준  —  우리 병원 예상 효과  (메인 시트 자동 연동)</t>
  </si>
  <si>
    <t xml:space="preserve">  작성 즉시 담당 전문가가 연락드립니다.  전화 영업 없이 카카오톡으로만 연락드립니다.</t>
  </si>
  <si>
    <r>
      <t xml:space="preserve">① 네트→그로스 전환 세금 절감
</t>
    </r>
    <r>
      <rPr>
        <b/>
        <sz val="9"/>
        <color rgb="FF2D3748"/>
        <rFont val="Arial"/>
        <family val="2"/>
      </rPr>
      <t>(</t>
    </r>
    <r>
      <rPr>
        <b/>
        <sz val="9"/>
        <color rgb="FF2D3748"/>
        <rFont val="Noto Sans CJK SC"/>
      </rPr>
      <t>인건비 감소 ✕ — 비용처리 증가 → 세금 감소 ✓</t>
    </r>
    <r>
      <rPr>
        <b/>
        <sz val="9"/>
        <color rgb="FF2D3748"/>
        <rFont val="Arial"/>
        <family val="2"/>
      </rPr>
      <t>)</t>
    </r>
  </si>
  <si>
    <t>NET 기준 실부담 (현재)</t>
  </si>
  <si>
    <t>그로스 전환 법인세 절감</t>
  </si>
  <si>
    <t>법인이 고소득일수록 유리</t>
  </si>
  <si>
    <t>🏆  병원 연간 총 절감액</t>
  </si>
  <si>
    <t>④ 페이닥터 절세 (개인)</t>
  </si>
  <si>
    <t xml:space="preserve">  ① 비과세 복지수당  —  월 최대 80만원 추가 실수령 (세금 0원)</t>
  </si>
  <si>
    <t>□  기타: _________________________________</t>
  </si>
  <si>
    <t xml:space="preserve">  실전 사례  —  강남 A 피부과·성형외과  (원장님 요청으로 익명 처리)</t>
  </si>
  <si>
    <t xml:space="preserve">  🔍  계산 검증용  —  숫자가 어떻게 나왔는지 궁금할 때만 확인하세요</t>
  </si>
  <si>
    <r>
      <t xml:space="preserve">  STEP 2  |  </t>
    </r>
    <r>
      <rPr>
        <b/>
        <sz val="11"/>
        <color rgb="FFFFFFFF"/>
        <rFont val="Noto Sans CJK SC"/>
      </rPr>
      <t xml:space="preserve">반발 시나리오별 대응 — 가장 많이 나오는 질문 </t>
    </r>
    <r>
      <rPr>
        <b/>
        <sz val="11"/>
        <color rgb="FFFFFFFF"/>
        <rFont val="Arial"/>
        <family val="2"/>
      </rPr>
      <t>5</t>
    </r>
    <r>
      <rPr>
        <b/>
        <sz val="11"/>
        <color rgb="FFFFFFFF"/>
        <rFont val="Noto Sans CJK SC"/>
      </rPr>
      <t>가지</t>
    </r>
  </si>
  <si>
    <t>③ 복지기금 절세</t>
  </si>
  <si>
    <t>월 평균 실수령</t>
  </si>
  <si>
    <t>② 법인세 추가 절감</t>
  </si>
  <si>
    <t>병원 누적 총 절감</t>
  </si>
  <si>
    <t>세전 급여만 부담</t>
  </si>
  <si>
    <t>만원/년  / 입력값</t>
  </si>
  <si>
    <t>절감액 × 세율</t>
  </si>
  <si>
    <t>법인 전환 추가 절세</t>
  </si>
  <si>
    <r>
      <t xml:space="preserve">USP </t>
    </r>
    <r>
      <rPr>
        <i/>
        <sz val="9"/>
        <color rgb="FF718096"/>
        <rFont val="Noto Sans CJK SC"/>
      </rPr>
      <t>진단 필요</t>
    </r>
  </si>
  <si>
    <r>
      <t>DB</t>
    </r>
    <r>
      <rPr>
        <b/>
        <sz val="10"/>
        <color rgb="FFFFFFFF"/>
        <rFont val="Noto Sans CJK SC"/>
      </rPr>
      <t xml:space="preserve">형 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</rPr>
      <t>현재</t>
    </r>
    <r>
      <rPr>
        <b/>
        <sz val="10"/>
        <color rgb="FFFFFFFF"/>
        <rFont val="Arial"/>
        <family val="2"/>
      </rPr>
      <t>)</t>
    </r>
  </si>
  <si>
    <r>
      <t>DC</t>
    </r>
    <r>
      <rPr>
        <b/>
        <sz val="10"/>
        <color rgb="FFFFFFFF"/>
        <rFont val="Noto Sans CJK SC"/>
      </rPr>
      <t xml:space="preserve">형 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</rPr>
      <t>전환 후</t>
    </r>
    <r>
      <rPr>
        <b/>
        <sz val="10"/>
        <color rgb="FFFFFFFF"/>
        <rFont val="Arial"/>
        <family val="2"/>
      </rPr>
      <t>)</t>
    </r>
  </si>
  <si>
    <t>출연 실비용(만원)</t>
  </si>
  <si>
    <t>직원복지(만원)</t>
  </si>
  <si>
    <t>실질 총편익(만원)</t>
  </si>
  <si>
    <t>병원 절세(만원)</t>
  </si>
  <si>
    <t>매년 전액 비용 처리</t>
  </si>
  <si>
    <t>지급 시 비용 처리</t>
  </si>
  <si>
    <t>재무 예측 가능</t>
  </si>
  <si>
    <t>퇴직 시 일시금만</t>
  </si>
  <si>
    <t>직원 만족도 향상</t>
  </si>
  <si>
    <t>퇴직금 규모 불투명</t>
  </si>
  <si>
    <t>소득세법 §12</t>
  </si>
  <si>
    <t>출산·육아지원금</t>
  </si>
  <si>
    <t>보수적 (만원/년)</t>
  </si>
  <si>
    <t>비과세 한도 내</t>
  </si>
  <si>
    <t>본인 차량 사용</t>
  </si>
  <si>
    <t>평균 (만원/년)</t>
  </si>
  <si>
    <t>최대 (만원/년)</t>
  </si>
  <si>
    <t>기부금·보험료·교육비</t>
  </si>
  <si>
    <t>맞벌이 세금 최적화</t>
  </si>
  <si>
    <r>
      <t>4</t>
    </r>
    <r>
      <rPr>
        <b/>
        <sz val="10"/>
        <color rgb="FFFFFFFF"/>
        <rFont val="Noto Sans CJK SC"/>
      </rPr>
      <t>개 항목 동시</t>
    </r>
  </si>
  <si>
    <t>연 900만 한도</t>
  </si>
  <si>
    <t>배우자 소득 있을 때</t>
  </si>
  <si>
    <t>벤처투자 소득공제</t>
  </si>
  <si>
    <t>공제 항목 챙기기</t>
  </si>
  <si>
    <t>💬 추천 답변</t>
  </si>
  <si>
    <t>🔑 핵심 논리</t>
  </si>
  <si>
    <t>번거로움 &lt; 이득</t>
  </si>
  <si>
    <t>도입 전 (2022)</t>
  </si>
  <si>
    <t xml:space="preserve">  병원 프로필</t>
  </si>
  <si>
    <r>
      <t xml:space="preserve">  3</t>
    </r>
    <r>
      <rPr>
        <b/>
        <sz val="11"/>
        <color rgb="FFFFFFFF"/>
        <rFont val="Noto Sans CJK SC"/>
      </rPr>
      <t>년 운영 성과</t>
    </r>
  </si>
  <si>
    <r>
      <t>2023</t>
    </r>
    <r>
      <rPr>
        <sz val="10"/>
        <color rgb="FF2D3748"/>
        <rFont val="Noto Sans CJK SC"/>
      </rPr>
      <t xml:space="preserve">년 </t>
    </r>
    <r>
      <rPr>
        <sz val="10"/>
        <color rgb="FF2D3748"/>
        <rFont val="Arial"/>
        <family val="2"/>
      </rPr>
      <t>3</t>
    </r>
    <r>
      <rPr>
        <sz val="10"/>
        <color rgb="FF2D3748"/>
        <rFont val="Noto Sans CJK SC"/>
      </rPr>
      <t>월</t>
    </r>
  </si>
  <si>
    <r>
      <t>1</t>
    </r>
    <r>
      <rPr>
        <b/>
        <sz val="10"/>
        <color rgb="FFFFFFFF"/>
        <rFont val="Noto Sans CJK SC"/>
      </rPr>
      <t xml:space="preserve">년차 </t>
    </r>
    <r>
      <rPr>
        <b/>
        <sz val="10"/>
        <color rgb="FFFFFFFF"/>
        <rFont val="Arial"/>
        <family val="2"/>
      </rPr>
      <t>(2023)</t>
    </r>
  </si>
  <si>
    <r>
      <t>2</t>
    </r>
    <r>
      <rPr>
        <b/>
        <sz val="10"/>
        <color rgb="FFFFFFFF"/>
        <rFont val="Noto Sans CJK SC"/>
      </rPr>
      <t xml:space="preserve">년차 </t>
    </r>
    <r>
      <rPr>
        <b/>
        <sz val="10"/>
        <color rgb="FFFFFFFF"/>
        <rFont val="Arial"/>
        <family val="2"/>
      </rPr>
      <t>(2024)</t>
    </r>
  </si>
  <si>
    <r>
      <t>3</t>
    </r>
    <r>
      <rPr>
        <sz val="10"/>
        <color rgb="FF2D3748"/>
        <rFont val="Noto Sans CJK SC"/>
      </rPr>
      <t xml:space="preserve">억 </t>
    </r>
    <r>
      <rPr>
        <sz val="10"/>
        <color rgb="FF2D3748"/>
        <rFont val="Arial"/>
        <family val="2"/>
      </rPr>
      <t>4,800</t>
    </r>
    <r>
      <rPr>
        <sz val="10"/>
        <color rgb="FF2D3748"/>
        <rFont val="Noto Sans CJK SC"/>
      </rPr>
      <t>만</t>
    </r>
  </si>
  <si>
    <r>
      <t>2</t>
    </r>
    <r>
      <rPr>
        <sz val="10"/>
        <color rgb="FF2D3748"/>
        <rFont val="Noto Sans CJK SC"/>
      </rPr>
      <t xml:space="preserve">억 </t>
    </r>
    <r>
      <rPr>
        <sz val="10"/>
        <color rgb="FF2D3748"/>
        <rFont val="Arial"/>
        <family val="2"/>
      </rPr>
      <t>1,500</t>
    </r>
    <r>
      <rPr>
        <sz val="10"/>
        <color rgb="FF2D3748"/>
        <rFont val="Noto Sans CJK SC"/>
      </rPr>
      <t>만</t>
    </r>
  </si>
  <si>
    <r>
      <t>3</t>
    </r>
    <r>
      <rPr>
        <b/>
        <sz val="10"/>
        <color rgb="FFFFFFFF"/>
        <rFont val="Noto Sans CJK SC"/>
      </rPr>
      <t xml:space="preserve">년차 </t>
    </r>
    <r>
      <rPr>
        <b/>
        <sz val="10"/>
        <color rgb="FFFFFFFF"/>
        <rFont val="Arial"/>
        <family val="2"/>
      </rPr>
      <t>(2025)</t>
    </r>
  </si>
  <si>
    <r>
      <t>1</t>
    </r>
    <r>
      <rPr>
        <sz val="10"/>
        <color rgb="FF2D3748"/>
        <rFont val="Noto Sans CJK SC"/>
      </rPr>
      <t xml:space="preserve">억 </t>
    </r>
    <r>
      <rPr>
        <sz val="10"/>
        <color rgb="FF2D3748"/>
        <rFont val="Arial"/>
        <family val="2"/>
      </rPr>
      <t>8,200</t>
    </r>
    <r>
      <rPr>
        <sz val="10"/>
        <color rgb="FF2D3748"/>
        <rFont val="Noto Sans CJK SC"/>
      </rPr>
      <t>만</t>
    </r>
  </si>
  <si>
    <r>
      <t>1</t>
    </r>
    <r>
      <rPr>
        <sz val="10"/>
        <color rgb="FF2D3748"/>
        <rFont val="Noto Sans CJK SC"/>
      </rPr>
      <t xml:space="preserve">억 </t>
    </r>
    <r>
      <rPr>
        <sz val="10"/>
        <color rgb="FF2D3748"/>
        <rFont val="Arial"/>
        <family val="2"/>
      </rPr>
      <t>6,800</t>
    </r>
    <r>
      <rPr>
        <sz val="10"/>
        <color rgb="FF2D3748"/>
        <rFont val="Noto Sans CJK SC"/>
      </rPr>
      <t>만</t>
    </r>
  </si>
  <si>
    <t>페이닥터 비용(4명)</t>
  </si>
  <si>
    <r>
      <t>1</t>
    </r>
    <r>
      <rPr>
        <sz val="10"/>
        <color rgb="FF2D3748"/>
        <rFont val="Noto Sans CJK SC"/>
      </rPr>
      <t xml:space="preserve">억 </t>
    </r>
    <r>
      <rPr>
        <sz val="10"/>
        <color rgb="FF2D3748"/>
        <rFont val="Arial"/>
        <family val="2"/>
      </rPr>
      <t>3,300</t>
    </r>
    <r>
      <rPr>
        <sz val="10"/>
        <color rgb="FF2D3748"/>
        <rFont val="Noto Sans CJK SC"/>
      </rPr>
      <t>만</t>
    </r>
  </si>
  <si>
    <r>
      <t>1</t>
    </r>
    <r>
      <rPr>
        <sz val="10"/>
        <color rgb="FF2D3748"/>
        <rFont val="Noto Sans CJK SC"/>
      </rPr>
      <t xml:space="preserve">억 </t>
    </r>
    <r>
      <rPr>
        <sz val="10"/>
        <color rgb="FF2D3748"/>
        <rFont val="Arial"/>
        <family val="2"/>
      </rPr>
      <t>6,600</t>
    </r>
    <r>
      <rPr>
        <sz val="10"/>
        <color rgb="FF2D3748"/>
        <rFont val="Noto Sans CJK SC"/>
      </rPr>
      <t>만</t>
    </r>
  </si>
  <si>
    <r>
      <t>1</t>
    </r>
    <r>
      <rPr>
        <b/>
        <sz val="10"/>
        <color rgb="FF1A7A4A"/>
        <rFont val="Noto Sans CJK SC"/>
      </rPr>
      <t xml:space="preserve">억 </t>
    </r>
    <r>
      <rPr>
        <b/>
        <sz val="10"/>
        <color rgb="FF1A7A4A"/>
        <rFont val="Arial"/>
        <family val="2"/>
      </rPr>
      <t>3,300</t>
    </r>
    <r>
      <rPr>
        <b/>
        <sz val="10"/>
        <color rgb="FF1A7A4A"/>
        <rFont val="Noto Sans CJK SC"/>
      </rPr>
      <t>만</t>
    </r>
  </si>
  <si>
    <r>
      <t>1</t>
    </r>
    <r>
      <rPr>
        <sz val="10"/>
        <color rgb="FF2D3748"/>
        <rFont val="Noto Sans CJK SC"/>
      </rPr>
      <t xml:space="preserve">억 </t>
    </r>
    <r>
      <rPr>
        <sz val="10"/>
        <color rgb="FF2D3748"/>
        <rFont val="Arial"/>
        <family val="2"/>
      </rPr>
      <t>8,000</t>
    </r>
    <r>
      <rPr>
        <sz val="10"/>
        <color rgb="FF2D3748"/>
        <rFont val="Noto Sans CJK SC"/>
      </rPr>
      <t>만</t>
    </r>
  </si>
  <si>
    <r>
      <t>4</t>
    </r>
    <r>
      <rPr>
        <b/>
        <sz val="10"/>
        <color rgb="FF1A7A4A"/>
        <rFont val="Noto Sans CJK SC"/>
      </rPr>
      <t xml:space="preserve">억 </t>
    </r>
    <r>
      <rPr>
        <b/>
        <sz val="10"/>
        <color rgb="FF1A7A4A"/>
        <rFont val="Arial"/>
        <family val="2"/>
      </rPr>
      <t>7,900</t>
    </r>
    <r>
      <rPr>
        <b/>
        <sz val="10"/>
        <color rgb="FF1A7A4A"/>
        <rFont val="Noto Sans CJK SC"/>
      </rPr>
      <t>만</t>
    </r>
  </si>
  <si>
    <r>
      <t>2</t>
    </r>
    <r>
      <rPr>
        <b/>
        <sz val="10"/>
        <color rgb="FF1A7A4A"/>
        <rFont val="Noto Sans CJK SC"/>
      </rPr>
      <t xml:space="preserve">억 </t>
    </r>
    <r>
      <rPr>
        <b/>
        <sz val="10"/>
        <color rgb="FF1A7A4A"/>
        <rFont val="Arial"/>
        <family val="2"/>
      </rPr>
      <t>9,900</t>
    </r>
    <r>
      <rPr>
        <b/>
        <sz val="10"/>
        <color rgb="FF1A7A4A"/>
        <rFont val="Noto Sans CJK SC"/>
      </rPr>
      <t>만</t>
    </r>
  </si>
  <si>
    <r>
      <t>1</t>
    </r>
    <r>
      <rPr>
        <sz val="10"/>
        <color rgb="FF2D3748"/>
        <rFont val="Noto Sans CJK SC"/>
      </rPr>
      <t xml:space="preserve">억 </t>
    </r>
    <r>
      <rPr>
        <sz val="10"/>
        <color rgb="FF2D3748"/>
        <rFont val="Arial"/>
        <family val="2"/>
      </rPr>
      <t>1,400</t>
    </r>
    <r>
      <rPr>
        <sz val="10"/>
        <color rgb="FF2D3748"/>
        <rFont val="Noto Sans CJK SC"/>
      </rPr>
      <t>만</t>
    </r>
    <r>
      <rPr>
        <sz val="10"/>
        <color rgb="FF2D3748"/>
        <rFont val="Arial"/>
        <family val="2"/>
      </rPr>
      <t>/</t>
    </r>
    <r>
      <rPr>
        <sz val="10"/>
        <color rgb="FF2D3748"/>
        <rFont val="Noto Sans CJK SC"/>
      </rPr>
      <t>년</t>
    </r>
  </si>
  <si>
    <r>
      <t>9,600</t>
    </r>
    <r>
      <rPr>
        <sz val="10"/>
        <color rgb="FF2D3748"/>
        <rFont val="Noto Sans CJK SC"/>
      </rPr>
      <t>만</t>
    </r>
    <r>
      <rPr>
        <sz val="10"/>
        <color rgb="FF2D3748"/>
        <rFont val="Arial"/>
        <family val="2"/>
      </rPr>
      <t>/</t>
    </r>
    <r>
      <rPr>
        <sz val="10"/>
        <color rgb="FF2D3748"/>
        <rFont val="Noto Sans CJK SC"/>
      </rPr>
      <t>년</t>
    </r>
  </si>
  <si>
    <t xml:space="preserve">  원장님 후기</t>
  </si>
  <si>
    <t>내과 (경기도 소재)</t>
  </si>
  <si>
    <r>
      <t>2022</t>
    </r>
    <r>
      <rPr>
        <sz val="10"/>
        <color rgb="FF2D3748"/>
        <rFont val="Noto Sans CJK SC"/>
      </rPr>
      <t xml:space="preserve">년 </t>
    </r>
    <r>
      <rPr>
        <sz val="10"/>
        <color rgb="FF2D3748"/>
        <rFont val="Arial"/>
        <family val="2"/>
      </rPr>
      <t>7</t>
    </r>
    <r>
      <rPr>
        <sz val="10"/>
        <color rgb="FF2D3748"/>
        <rFont val="Noto Sans CJK SC"/>
      </rPr>
      <t>월</t>
    </r>
  </si>
  <si>
    <r>
      <t xml:space="preserve">  2</t>
    </r>
    <r>
      <rPr>
        <b/>
        <sz val="10"/>
        <color rgb="FFFFFFFF"/>
        <rFont val="Noto Sans CJK SC"/>
      </rPr>
      <t>년 운영 성과</t>
    </r>
  </si>
  <si>
    <r>
      <t>2024</t>
    </r>
    <r>
      <rPr>
        <sz val="10"/>
        <color rgb="FF2D3748"/>
        <rFont val="Noto Sans CJK SC"/>
      </rPr>
      <t xml:space="preserve">년 </t>
    </r>
    <r>
      <rPr>
        <sz val="10"/>
        <color rgb="FF2D3748"/>
        <rFont val="Arial"/>
        <family val="2"/>
      </rPr>
      <t>1</t>
    </r>
    <r>
      <rPr>
        <sz val="10"/>
        <color rgb="FF2D3748"/>
        <rFont val="Noto Sans CJK SC"/>
      </rPr>
      <t>월</t>
    </r>
  </si>
  <si>
    <t>피부과 (서울 소재)</t>
  </si>
  <si>
    <r>
      <t>1</t>
    </r>
    <r>
      <rPr>
        <b/>
        <sz val="10"/>
        <color rgb="FFFFFFFF"/>
        <rFont val="Noto Sans CJK SC"/>
      </rPr>
      <t xml:space="preserve">년차 </t>
    </r>
    <r>
      <rPr>
        <b/>
        <sz val="10"/>
        <color rgb="FFFFFFFF"/>
        <rFont val="Arial"/>
        <family val="2"/>
      </rPr>
      <t>(2024)</t>
    </r>
  </si>
  <si>
    <r>
      <t xml:space="preserve">  1</t>
    </r>
    <r>
      <rPr>
        <b/>
        <sz val="10"/>
        <color rgb="FFFFFFFF"/>
        <rFont val="Noto Sans CJK SC"/>
      </rPr>
      <t>년 운영 성과</t>
    </r>
  </si>
  <si>
    <t>연 순수익 (대략)</t>
  </si>
  <si>
    <t>현재 계약 방식</t>
  </si>
  <si>
    <t xml:space="preserve">  병원 기본 정보</t>
  </si>
  <si>
    <t>예) 2명, 3명 등</t>
  </si>
  <si>
    <r>
      <t>DC</t>
    </r>
    <r>
      <rPr>
        <i/>
        <sz val="9"/>
        <color rgb="FF718096"/>
        <rFont val="Noto Sans CJK SC"/>
      </rPr>
      <t>형 전환 완료</t>
    </r>
  </si>
  <si>
    <r>
      <t>38</t>
    </r>
    <r>
      <rPr>
        <sz val="10"/>
        <color rgb="FF2D3748"/>
        <rFont val="Noto Sans CJK SC"/>
      </rPr>
      <t xml:space="preserve">억원  </t>
    </r>
    <r>
      <rPr>
        <sz val="10"/>
        <color rgb="FF2D3748"/>
        <rFont val="Arial"/>
        <family val="2"/>
      </rPr>
      <t>(</t>
    </r>
    <r>
      <rPr>
        <sz val="10"/>
        <color rgb="FF2D3748"/>
        <rFont val="Noto Sans CJK SC"/>
      </rPr>
      <t xml:space="preserve">순수익 </t>
    </r>
    <r>
      <rPr>
        <sz val="10"/>
        <color rgb="FF2D3748"/>
        <rFont val="Arial"/>
        <family val="2"/>
      </rPr>
      <t>8</t>
    </r>
    <r>
      <rPr>
        <sz val="10"/>
        <color rgb="FF2D3748"/>
        <rFont val="Noto Sans CJK SC"/>
      </rPr>
      <t>억원</t>
    </r>
    <r>
      <rPr>
        <sz val="10"/>
        <color rgb="FF2D3748"/>
        <rFont val="Arial"/>
        <family val="2"/>
      </rPr>
      <t>)</t>
    </r>
  </si>
  <si>
    <r>
      <t xml:space="preserve">  ✅  USP COMPANY  |  </t>
    </r>
    <r>
      <rPr>
        <b/>
        <sz val="9"/>
        <color rgb="FFFFFFFF"/>
        <rFont val="Noto Sans CJK SC"/>
      </rPr>
      <t xml:space="preserve">도입 병원 </t>
    </r>
    <r>
      <rPr>
        <b/>
        <sz val="9"/>
        <color rgb="FFFFFFFF"/>
        <rFont val="Arial"/>
        <family val="2"/>
      </rPr>
      <t>47</t>
    </r>
    <r>
      <rPr>
        <b/>
        <sz val="9"/>
        <color rgb="FFFFFFFF"/>
        <rFont val="Noto Sans CJK SC"/>
      </rPr>
      <t xml:space="preserve">개  </t>
    </r>
    <r>
      <rPr>
        <b/>
        <sz val="9"/>
        <color rgb="FFFFFFFF"/>
        <rFont val="Arial"/>
        <family val="2"/>
      </rPr>
      <t xml:space="preserve">|  </t>
    </r>
    <r>
      <rPr>
        <b/>
        <sz val="9"/>
        <color rgb="FFFFFFFF"/>
        <rFont val="Noto Sans CJK SC"/>
      </rPr>
      <t xml:space="preserve">누적 절세 </t>
    </r>
    <r>
      <rPr>
        <b/>
        <sz val="9"/>
        <color rgb="FFFFFFFF"/>
        <rFont val="Arial"/>
        <family val="2"/>
      </rPr>
      <t>138</t>
    </r>
    <r>
      <rPr>
        <b/>
        <sz val="9"/>
        <color rgb="FFFFFFFF"/>
        <rFont val="Noto Sans CJK SC"/>
      </rPr>
      <t xml:space="preserve">억  </t>
    </r>
    <r>
      <rPr>
        <b/>
        <sz val="9"/>
        <color rgb="FFFFFFFF"/>
        <rFont val="Arial"/>
        <family val="2"/>
      </rPr>
      <t xml:space="preserve">|  </t>
    </r>
    <r>
      <rPr>
        <b/>
        <sz val="9"/>
        <color rgb="FFFFFFFF"/>
        <rFont val="Noto Sans CJK SC"/>
      </rPr>
      <t xml:space="preserve">추징 </t>
    </r>
    <r>
      <rPr>
        <b/>
        <sz val="9"/>
        <color rgb="FFFFFFFF"/>
        <rFont val="Arial"/>
        <family val="2"/>
      </rPr>
      <t>0</t>
    </r>
    <r>
      <rPr>
        <b/>
        <sz val="9"/>
        <color rgb="FFFFFFFF"/>
        <rFont val="Noto Sans CJK SC"/>
      </rPr>
      <t xml:space="preserve">건 </t>
    </r>
    <r>
      <rPr>
        <b/>
        <sz val="9"/>
        <color rgb="FFFFFFFF"/>
        <rFont val="Arial"/>
        <family val="2"/>
      </rPr>
      <t xml:space="preserve">(2019~2026)  |  </t>
    </r>
    <r>
      <rPr>
        <b/>
        <sz val="9"/>
        <color rgb="FFFFFFFF"/>
        <rFont val="Noto Sans CJK SC"/>
      </rPr>
      <t>본 시뮬레이터 수치는 실제 운영 데이터 기반입니다</t>
    </r>
  </si>
  <si>
    <r>
      <t>"</t>
    </r>
    <r>
      <rPr>
        <b/>
        <sz val="11"/>
        <color rgb="FF2D3748"/>
        <rFont val="Noto Sans CJK SC"/>
      </rPr>
      <t>선생님</t>
    </r>
    <r>
      <rPr>
        <b/>
        <sz val="11"/>
        <color rgb="FF2D3748"/>
        <rFont val="Arial"/>
        <family val="2"/>
      </rPr>
      <t xml:space="preserve">, </t>
    </r>
    <r>
      <rPr>
        <b/>
        <sz val="11"/>
        <color rgb="FF2D3748"/>
        <rFont val="Noto Sans CJK SC"/>
      </rPr>
      <t>실수령은 지금과 똑같이 맞춰드리고요</t>
    </r>
    <r>
      <rPr>
        <b/>
        <sz val="11"/>
        <color rgb="FF2D3748"/>
        <rFont val="Arial"/>
        <family val="2"/>
      </rPr>
      <t xml:space="preserve">.
</t>
    </r>
    <r>
      <rPr>
        <b/>
        <sz val="11"/>
        <color rgb="FF2D3748"/>
        <rFont val="Noto Sans CJK SC"/>
      </rPr>
      <t xml:space="preserve">오히려 연금저축으로 연간 </t>
    </r>
    <r>
      <rPr>
        <b/>
        <sz val="11"/>
        <color rgb="FF2D3748"/>
        <rFont val="Arial"/>
        <family val="2"/>
      </rPr>
      <t>150</t>
    </r>
    <r>
      <rPr>
        <b/>
        <sz val="11"/>
        <color rgb="FF2D3748"/>
        <rFont val="Noto Sans CJK SC"/>
      </rPr>
      <t>만원 이상 절세도 생기세요</t>
    </r>
    <r>
      <rPr>
        <b/>
        <sz val="11"/>
        <color rgb="FF2D3748"/>
        <rFont val="Arial"/>
        <family val="2"/>
      </rPr>
      <t xml:space="preserve">.
</t>
    </r>
    <r>
      <rPr>
        <b/>
        <sz val="11"/>
        <color rgb="FF2D3748"/>
        <rFont val="Noto Sans CJK SC"/>
      </rPr>
      <t>저도 전문가랑 한번 더 확인하고 진행할 건데</t>
    </r>
    <r>
      <rPr>
        <b/>
        <sz val="11"/>
        <color rgb="FF2D3748"/>
        <rFont val="Arial"/>
        <family val="2"/>
      </rPr>
      <t xml:space="preserve">, </t>
    </r>
    <r>
      <rPr>
        <b/>
        <sz val="11"/>
        <color rgb="FF2D3748"/>
        <rFont val="Noto Sans CJK SC"/>
      </rPr>
      <t>같이 검토해보시겠어요</t>
    </r>
    <r>
      <rPr>
        <b/>
        <sz val="11"/>
        <color rgb="FF2D3748"/>
        <rFont val="Arial"/>
        <family val="2"/>
      </rPr>
      <t>?"</t>
    </r>
  </si>
  <si>
    <r>
      <t xml:space="preserve">  📞  USP Company  |  </t>
    </r>
    <r>
      <rPr>
        <b/>
        <sz val="10"/>
        <color rgb="FFFFFFFF"/>
        <rFont val="Noto Sans CJK SC"/>
      </rPr>
      <t>전화</t>
    </r>
    <r>
      <rPr>
        <b/>
        <sz val="10"/>
        <color rgb="FFFFFFFF"/>
        <rFont val="Arial"/>
        <family val="2"/>
      </rPr>
      <t xml:space="preserve">: 1533-6441  |  </t>
    </r>
    <r>
      <rPr>
        <b/>
        <sz val="10"/>
        <color rgb="FFFFFFFF"/>
        <rFont val="Noto Sans CJK SC"/>
      </rPr>
      <t>카카오톡</t>
    </r>
    <r>
      <rPr>
        <b/>
        <sz val="10"/>
        <color rgb="FFFFFFFF"/>
        <rFont val="Arial"/>
        <family val="2"/>
      </rPr>
      <t>: pf.kakao.com/_SxdxfxcG/chat</t>
    </r>
  </si>
  <si>
    <t xml:space="preserve">  ※ 절세율 30% 보수적 기준 추정값  |  실제 절세율은 병원 세율 구조에 따라 달라집니다  —  정확한 수치는 무료 상담에서</t>
  </si>
  <si>
    <r>
      <t xml:space="preserve">  위 시뮬레이터에서 병원 유형을 </t>
    </r>
    <r>
      <rPr>
        <i/>
        <sz val="9"/>
        <color rgb="FF718096"/>
        <rFont val="Arial"/>
        <family val="2"/>
      </rPr>
      <t>'</t>
    </r>
    <r>
      <rPr>
        <i/>
        <sz val="9"/>
        <color rgb="FF718096"/>
        <rFont val="Noto Sans CJK SC"/>
      </rPr>
      <t>법인</t>
    </r>
    <r>
      <rPr>
        <i/>
        <sz val="9"/>
        <color rgb="FF718096"/>
        <rFont val="Arial"/>
        <family val="2"/>
      </rPr>
      <t>'</t>
    </r>
    <r>
      <rPr>
        <i/>
        <sz val="9"/>
        <color rgb="FF718096"/>
        <rFont val="Noto Sans CJK SC"/>
      </rPr>
      <t>으로 변경하면 법인세율이 자동 적용됩니다</t>
    </r>
    <r>
      <rPr>
        <i/>
        <sz val="9"/>
        <color rgb="FF718096"/>
        <rFont val="Arial"/>
        <family val="2"/>
      </rPr>
      <t xml:space="preserve">. </t>
    </r>
    <r>
      <rPr>
        <i/>
        <sz val="9"/>
        <color rgb="FF718096"/>
        <rFont val="Noto Sans CJK SC"/>
      </rPr>
      <t>아래는 유형별 세율 차이와 전환 효과 요약입니다</t>
    </r>
    <r>
      <rPr>
        <i/>
        <sz val="9"/>
        <color rgb="FF718096"/>
        <rFont val="Arial"/>
        <family val="2"/>
      </rPr>
      <t>.</t>
    </r>
  </si>
  <si>
    <r>
      <t>47</t>
    </r>
    <r>
      <rPr>
        <b/>
        <sz val="10"/>
        <color rgb="FF1A7A4A"/>
        <rFont val="Noto Sans CJK SC"/>
      </rPr>
      <t xml:space="preserve">개 병원 </t>
    </r>
    <r>
      <rPr>
        <b/>
        <sz val="10"/>
        <color rgb="FF1A7A4A"/>
        <rFont val="Arial"/>
        <family val="2"/>
      </rPr>
      <t xml:space="preserve">/ </t>
    </r>
    <r>
      <rPr>
        <b/>
        <sz val="10"/>
        <color rgb="FF1A7A4A"/>
        <rFont val="Noto Sans CJK SC"/>
      </rPr>
      <t xml:space="preserve">추징 </t>
    </r>
    <r>
      <rPr>
        <b/>
        <sz val="10"/>
        <color rgb="FF1A7A4A"/>
        <rFont val="Arial"/>
        <family val="2"/>
      </rPr>
      <t>0</t>
    </r>
    <r>
      <rPr>
        <b/>
        <sz val="10"/>
        <color rgb="FF1A7A4A"/>
        <rFont val="Noto Sans CJK SC"/>
      </rPr>
      <t xml:space="preserve">건 </t>
    </r>
    <r>
      <rPr>
        <b/>
        <sz val="10"/>
        <color rgb="FF1A7A4A"/>
        <rFont val="Arial"/>
        <family val="2"/>
      </rPr>
      <t xml:space="preserve">/ </t>
    </r>
    <r>
      <rPr>
        <b/>
        <sz val="10"/>
        <color rgb="FF1A7A4A"/>
        <rFont val="Noto Sans CJK SC"/>
      </rPr>
      <t>실제 사례 제시</t>
    </r>
  </si>
  <si>
    <r>
      <t>4</t>
    </r>
    <r>
      <rPr>
        <sz val="10"/>
        <color rgb="FF2D3748"/>
        <rFont val="Noto Sans CJK SC"/>
      </rPr>
      <t xml:space="preserve">명  </t>
    </r>
    <r>
      <rPr>
        <sz val="10"/>
        <color rgb="FF2D3748"/>
        <rFont val="Arial"/>
        <family val="2"/>
      </rPr>
      <t>(</t>
    </r>
    <r>
      <rPr>
        <sz val="10"/>
        <color rgb="FF2D3748"/>
        <rFont val="Noto Sans CJK SC"/>
      </rPr>
      <t xml:space="preserve">전원 </t>
    </r>
    <r>
      <rPr>
        <sz val="10"/>
        <color rgb="FF2D3748"/>
        <rFont val="Arial"/>
        <family val="2"/>
      </rPr>
      <t xml:space="preserve">NET → GROSS </t>
    </r>
    <r>
      <rPr>
        <sz val="10"/>
        <color rgb="FF2D3748"/>
        <rFont val="Noto Sans CJK SC"/>
      </rPr>
      <t>전환 완료</t>
    </r>
    <r>
      <rPr>
        <sz val="10"/>
        <color rgb="FF2D3748"/>
        <rFont val="Arial"/>
        <family val="2"/>
      </rPr>
      <t>)</t>
    </r>
  </si>
  <si>
    <t>실수령 유지 + 페이닥터 절세 자료 먼저 공유</t>
  </si>
  <si>
    <r>
      <t>❓ "</t>
    </r>
    <r>
      <rPr>
        <b/>
        <sz val="10"/>
        <color rgb="FFFFFFFF"/>
        <rFont val="Noto Sans CJK SC"/>
      </rPr>
      <t>갑자기 바꾸면 관계가 불편해지지 않을까요</t>
    </r>
    <r>
      <rPr>
        <b/>
        <sz val="10"/>
        <color rgb="FFFFFFFF"/>
        <rFont val="Arial"/>
        <family val="2"/>
      </rPr>
      <t>?"</t>
    </r>
  </si>
  <si>
    <t>□  네트 계약의 세금 처리가 복잡하고 불안하다</t>
  </si>
  <si>
    <t>□  복지기금이나 DC형 퇴직연금에 관심이 있다</t>
  </si>
  <si>
    <t>개인사업자 / 법인 (해당 항목에 ○ 표시)</t>
  </si>
  <si>
    <t xml:space="preserve">  📞  전화 상담 선호 시: 1533-6441</t>
  </si>
  <si>
    <t xml:space="preserve">  📋  우리 병원 정보 입력</t>
  </si>
  <si>
    <t>① 네트→그로스 전환 세금 절감</t>
  </si>
  <si>
    <t>만원/년  / 직원 세금 0원</t>
  </si>
  <si>
    <t xml:space="preserve">  💰  절감 효과 자동 계산</t>
  </si>
  <si>
    <t>✅ 법인세 절감 (②번 항목)</t>
  </si>
  <si>
    <t>만원/년  / 실제 병원 부담</t>
  </si>
  <si>
    <r>
      <t xml:space="preserve">NET </t>
    </r>
    <r>
      <rPr>
        <sz val="10"/>
        <color rgb="FF2D3748"/>
        <rFont val="Noto Sans CJK SC"/>
      </rPr>
      <t xml:space="preserve">기준 병원 실부담 </t>
    </r>
    <r>
      <rPr>
        <sz val="10"/>
        <color rgb="FF2D3748"/>
        <rFont val="Arial"/>
        <family val="2"/>
      </rPr>
      <t>(</t>
    </r>
    <r>
      <rPr>
        <sz val="10"/>
        <color rgb="FF2D3748"/>
        <rFont val="Noto Sans CJK SC"/>
      </rPr>
      <t>현재</t>
    </r>
    <r>
      <rPr>
        <sz val="10"/>
        <color rgb="FF2D3748"/>
        <rFont val="Arial"/>
        <family val="2"/>
      </rPr>
      <t>)</t>
    </r>
  </si>
  <si>
    <r>
      <t xml:space="preserve">GROSS </t>
    </r>
    <r>
      <rPr>
        <sz val="10"/>
        <color rgb="FF2D3748"/>
        <rFont val="Noto Sans CJK SC"/>
      </rPr>
      <t>전환 후 병원 부담</t>
    </r>
  </si>
  <si>
    <r>
      <t>📈  10</t>
    </r>
    <r>
      <rPr>
        <b/>
        <sz val="11"/>
        <color rgb="FFFFFFFF"/>
        <rFont val="Noto Sans CJK SC"/>
      </rPr>
      <t>년 누적 예상 절감액</t>
    </r>
  </si>
  <si>
    <r>
      <t xml:space="preserve">법인세 </t>
    </r>
    <r>
      <rPr>
        <sz val="10"/>
        <color rgb="FF2D3748"/>
        <rFont val="Arial"/>
        <family val="2"/>
      </rPr>
      <t>9%~21%
(</t>
    </r>
    <r>
      <rPr>
        <sz val="10"/>
        <color rgb="FF2D3748"/>
        <rFont val="Noto Sans CJK SC"/>
      </rPr>
      <t>지방세 포함</t>
    </r>
    <r>
      <rPr>
        <sz val="10"/>
        <color rgb="FF2D3748"/>
        <rFont val="Arial"/>
        <family val="2"/>
      </rPr>
      <t>)</t>
    </r>
  </si>
  <si>
    <t>세전 기준 명시
→ 분쟁 소지 0</t>
  </si>
  <si>
    <t xml:space="preserve">  메인 시뮬레이터 연동 현황</t>
  </si>
  <si>
    <r>
      <t>❓ "</t>
    </r>
    <r>
      <rPr>
        <b/>
        <sz val="10"/>
        <color rgb="FFFFFFFF"/>
        <rFont val="Noto Sans CJK SC"/>
      </rPr>
      <t>세금 신고 번거롭지 않아요</t>
    </r>
    <r>
      <rPr>
        <b/>
        <sz val="10"/>
        <color rgb="FFFFFFFF"/>
        <rFont val="Arial"/>
        <family val="2"/>
      </rPr>
      <t>?"</t>
    </r>
  </si>
  <si>
    <t>피부과·성형외과 (강남 소재)</t>
  </si>
  <si>
    <t xml:space="preserve">  추가 사례  —  규모별 참고</t>
  </si>
  <si>
    <t>예) 피부과, 성형외과, 내과 등</t>
  </si>
  <si>
    <t>개인사업자</t>
  </si>
  <si>
    <t>병원 유형</t>
  </si>
  <si>
    <t>만원/년</t>
  </si>
  <si>
    <t>연 순수익</t>
  </si>
  <si>
    <t>페이닥터 인원</t>
  </si>
  <si>
    <t>복지기금 출연</t>
  </si>
  <si>
    <t>출연 계획액</t>
  </si>
  <si>
    <t>연간 효과</t>
  </si>
  <si>
    <t>자가운전보조금</t>
  </si>
  <si>
    <r>
      <t>20</t>
    </r>
    <r>
      <rPr>
        <sz val="10"/>
        <color rgb="FF2D3748"/>
        <rFont val="Noto Sans CJK SC"/>
      </rPr>
      <t>만원</t>
    </r>
  </si>
  <si>
    <t>퇴직금 기준</t>
  </si>
  <si>
    <t>월 80만원</t>
  </si>
  <si>
    <r>
      <t>1</t>
    </r>
    <r>
      <rPr>
        <b/>
        <sz val="10"/>
        <color rgb="FFFFFFFF"/>
        <rFont val="Noto Sans CJK SC"/>
      </rPr>
      <t>인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</rPr>
      <t>월</t>
    </r>
  </si>
  <si>
    <t>출연 실비용</t>
  </si>
  <si>
    <t>계약서 일원화</t>
  </si>
  <si>
    <t>세율 구간</t>
  </si>
  <si>
    <t>분쟁 리스크</t>
  </si>
  <si>
    <r>
      <t>3</t>
    </r>
    <r>
      <rPr>
        <b/>
        <sz val="10"/>
        <color rgb="FFFFFFFF"/>
        <rFont val="Noto Sans CJK SC"/>
      </rPr>
      <t>년 누적</t>
    </r>
  </si>
  <si>
    <t>세금 처리</t>
  </si>
  <si>
    <t>직원 복지액</t>
  </si>
  <si>
    <r>
      <t>10</t>
    </r>
    <r>
      <rPr>
        <b/>
        <sz val="10"/>
        <color rgb="FFFFFFFF"/>
        <rFont val="Noto Sans CJK SC"/>
      </rPr>
      <t>년 누적</t>
    </r>
  </si>
  <si>
    <t>직원 혜택</t>
  </si>
  <si>
    <r>
      <t>1</t>
    </r>
    <r>
      <rPr>
        <b/>
        <sz val="10"/>
        <color rgb="FFFFFFFF"/>
        <rFont val="Noto Sans CJK SC"/>
      </rPr>
      <t>인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</rPr>
      <t>년</t>
    </r>
  </si>
  <si>
    <r>
      <t xml:space="preserve">약 </t>
    </r>
    <r>
      <rPr>
        <b/>
        <sz val="10"/>
        <color rgb="FF1A5FA8"/>
        <rFont val="Arial"/>
        <family val="2"/>
      </rPr>
      <t>19.8%</t>
    </r>
  </si>
  <si>
    <t>법적 근거</t>
  </si>
  <si>
    <t>연구개발비</t>
  </si>
  <si>
    <t>월 실수령</t>
  </si>
  <si>
    <t>전체/년</t>
  </si>
  <si>
    <t>출연액(만원)</t>
  </si>
  <si>
    <t>의사 연구활동</t>
  </si>
  <si>
    <t>해당자 적용</t>
  </si>
  <si>
    <t>연 240만원</t>
  </si>
  <si>
    <r>
      <t xml:space="preserve">약 </t>
    </r>
    <r>
      <rPr>
        <b/>
        <sz val="10"/>
        <color rgb="FFC0580A"/>
        <rFont val="Arial"/>
        <family val="2"/>
      </rPr>
      <t>41.8%</t>
    </r>
  </si>
  <si>
    <t>핵심 효과</t>
  </si>
  <si>
    <t>월 한도</t>
  </si>
  <si>
    <t>복지기금</t>
  </si>
  <si>
    <t>비용 예측</t>
  </si>
  <si>
    <t>페이닥터</t>
  </si>
  <si>
    <t>병원 절세액</t>
  </si>
  <si>
    <t>종소세 기준</t>
  </si>
  <si>
    <t>병원 총 절감</t>
  </si>
  <si>
    <r>
      <t>3,000</t>
    </r>
    <r>
      <rPr>
        <sz val="10"/>
        <color rgb="FF2D3748"/>
        <rFont val="Noto Sans CJK SC"/>
      </rPr>
      <t>만</t>
    </r>
  </si>
  <si>
    <t>핵심 포인트</t>
  </si>
  <si>
    <t>추천 클로징</t>
  </si>
  <si>
    <t>구조 도입</t>
  </si>
  <si>
    <t>연간 세금</t>
  </si>
  <si>
    <t>소송위험</t>
  </si>
  <si>
    <t>누적 절세액</t>
  </si>
  <si>
    <r>
      <t>1,800</t>
    </r>
    <r>
      <rPr>
        <sz val="10"/>
        <color rgb="FF2D3748"/>
        <rFont val="Noto Sans CJK SC"/>
      </rPr>
      <t>만</t>
    </r>
  </si>
  <si>
    <t>연간 절세액</t>
  </si>
  <si>
    <r>
      <t>5,600</t>
    </r>
    <r>
      <rPr>
        <sz val="10"/>
        <color rgb="FF2D3748"/>
        <rFont val="Noto Sans CJK SC"/>
      </rPr>
      <t>만</t>
    </r>
  </si>
  <si>
    <r>
      <t>5,400</t>
    </r>
    <r>
      <rPr>
        <sz val="10"/>
        <color rgb="FF2D3748"/>
        <rFont val="Noto Sans CJK SC"/>
      </rPr>
      <t>만</t>
    </r>
  </si>
  <si>
    <t>분쟁 0건</t>
  </si>
  <si>
    <r>
      <t>2,200</t>
    </r>
    <r>
      <rPr>
        <sz val="10"/>
        <color rgb="FF1A7A4A"/>
        <rFont val="Noto Sans CJK SC"/>
      </rPr>
      <t>만</t>
    </r>
  </si>
  <si>
    <t>연 매출</t>
  </si>
  <si>
    <t>연간 절감</t>
  </si>
  <si>
    <r>
      <t>6,800</t>
    </r>
    <r>
      <rPr>
        <sz val="10"/>
        <color rgb="FF2D3748"/>
        <rFont val="Noto Sans CJK SC"/>
      </rPr>
      <t>만</t>
    </r>
  </si>
  <si>
    <r>
      <t>2,600</t>
    </r>
    <r>
      <rPr>
        <sz val="10"/>
        <color rgb="FF2D3748"/>
        <rFont val="Noto Sans CJK SC"/>
      </rPr>
      <t>만</t>
    </r>
  </si>
  <si>
    <t>세무조사</t>
  </si>
  <si>
    <r>
      <t>3,800</t>
    </r>
    <r>
      <rPr>
        <sz val="10"/>
        <color rgb="FF2D3748"/>
        <rFont val="Noto Sans CJK SC"/>
      </rPr>
      <t>만</t>
    </r>
  </si>
  <si>
    <r>
      <t>5,600</t>
    </r>
    <r>
      <rPr>
        <b/>
        <sz val="10"/>
        <color rgb="FF1A7A4A"/>
        <rFont val="Noto Sans CJK SC"/>
      </rPr>
      <t>만</t>
    </r>
  </si>
  <si>
    <r>
      <t>2,600</t>
    </r>
    <r>
      <rPr>
        <b/>
        <sz val="10"/>
        <color rgb="FF1A7A4A"/>
        <rFont val="Noto Sans CJK SC"/>
      </rPr>
      <t>만</t>
    </r>
  </si>
  <si>
    <r>
      <t>4,200</t>
    </r>
    <r>
      <rPr>
        <sz val="10"/>
        <color rgb="FF2D3748"/>
        <rFont val="Noto Sans CJK SC"/>
      </rPr>
      <t>만</t>
    </r>
  </si>
  <si>
    <t>연 960만원</t>
  </si>
  <si>
    <r>
      <t>3,800</t>
    </r>
    <r>
      <rPr>
        <sz val="10"/>
        <color rgb="FFC0392B"/>
        <rFont val="Noto Sans CJK SC"/>
      </rPr>
      <t>만</t>
    </r>
  </si>
  <si>
    <t>퇴직금 분쟁</t>
  </si>
  <si>
    <t>추천 멘트</t>
  </si>
  <si>
    <t>진료과목</t>
  </si>
  <si>
    <r>
      <t>3,600</t>
    </r>
    <r>
      <rPr>
        <sz val="10"/>
        <color rgb="FF2D3748"/>
        <rFont val="Noto Sans CJK SC"/>
      </rPr>
      <t>만</t>
    </r>
  </si>
  <si>
    <t>도입 전</t>
  </si>
  <si>
    <t>통보 1건</t>
  </si>
  <si>
    <r>
      <t>1,600</t>
    </r>
    <r>
      <rPr>
        <sz val="10"/>
        <color rgb="FF1A7A4A"/>
        <rFont val="Noto Sans CJK SC"/>
      </rPr>
      <t>만</t>
    </r>
  </si>
  <si>
    <t>이상 없음</t>
  </si>
  <si>
    <r>
      <t>1</t>
    </r>
    <r>
      <rPr>
        <i/>
        <sz val="9"/>
        <color rgb="FF718096"/>
        <rFont val="Noto Sans CJK SC"/>
      </rPr>
      <t>년차 효과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</si>
</sst>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3">
    <font>
      <sz val="11"/>
      <color rgb="FF000000"/>
      <name val="Calibri"/>
    </font>
    <font>
      <b/>
      <sz val="11"/>
      <color rgb="FFFFFFFF"/>
      <name val="Noto Sans CJK SC"/>
    </font>
    <font>
      <b/>
      <sz val="10"/>
      <color rgb="FF2D3748"/>
      <name val="Noto Sans CJK SC"/>
    </font>
    <font>
      <b/>
      <sz val="12"/>
      <color rgb="FF0000FF"/>
      <name val="Noto Sans CJK SC"/>
    </font>
    <font>
      <sz val="9"/>
      <color rgb="FF718096"/>
      <name val="Arial"/>
      <family val="2"/>
    </font>
    <font>
      <b/>
      <sz val="9"/>
      <color rgb="FF2D3748"/>
      <name val="Noto Sans CJK SC"/>
    </font>
    <font>
      <b/>
      <sz val="14"/>
      <color rgb="FF1A7A4A"/>
      <name val="Arial"/>
      <family val="2"/>
    </font>
    <font>
      <sz val="9"/>
      <color rgb="FF718096"/>
      <name val="Noto Sans CJK SC"/>
    </font>
    <font>
      <b/>
      <sz val="12"/>
      <color rgb="FF0000FF"/>
      <name val="Arial"/>
      <family val="2"/>
    </font>
    <font>
      <sz val="10"/>
      <color rgb="FF718096"/>
      <name val="Noto Sans CJK SC"/>
    </font>
    <font>
      <b/>
      <sz val="11"/>
      <color rgb="FF718096"/>
      <name val="Arial"/>
      <family val="2"/>
    </font>
    <font>
      <b/>
      <sz val="13"/>
      <color rgb="FFFFFFFF"/>
      <name val="Noto Sans CJK SC"/>
    </font>
    <font>
      <b/>
      <sz val="10"/>
      <color rgb="FFFFFFFF"/>
      <name val="Noto Sans CJK SC"/>
    </font>
    <font>
      <b/>
      <sz val="10"/>
      <color rgb="FFFFFFFF"/>
      <name val="Arial"/>
      <family val="2"/>
    </font>
    <font>
      <sz val="10"/>
      <color rgb="FF2D3748"/>
      <name val="Noto Sans CJK SC"/>
    </font>
    <font>
      <sz val="10"/>
      <color rgb="FF1A7A4A"/>
      <name val="Arial"/>
      <family val="2"/>
    </font>
    <font>
      <b/>
      <sz val="11"/>
      <color rgb="FF2176C7"/>
      <name val="Arial"/>
      <family val="2"/>
    </font>
    <font>
      <b/>
      <sz val="11"/>
      <color rgb="FF0D47A1"/>
      <name val="Arial"/>
      <family val="2"/>
    </font>
    <font>
      <sz val="10"/>
      <color rgb="FF2D3748"/>
      <name val="Arial"/>
      <family val="2"/>
    </font>
    <font>
      <b/>
      <sz val="11"/>
      <color rgb="FFFFFFFF"/>
      <name val="Arial"/>
      <family val="2"/>
    </font>
    <font>
      <sz val="11"/>
      <color rgb="FF2D3748"/>
      <name val="Arial"/>
      <family val="2"/>
    </font>
    <font>
      <b/>
      <sz val="11"/>
      <color rgb="FF1A7A4A"/>
      <name val="Arial"/>
      <family val="2"/>
    </font>
    <font>
      <i/>
      <sz val="9"/>
      <color rgb="FF718096"/>
      <name val="Noto Sans CJK SC"/>
    </font>
    <font>
      <b/>
      <sz val="10"/>
      <color rgb="FF1A7A4A"/>
      <name val="Noto Sans CJK SC"/>
    </font>
    <font>
      <b/>
      <sz val="10"/>
      <color rgb="FF1A7A4A"/>
      <name val="Arial"/>
      <family val="2"/>
    </font>
    <font>
      <i/>
      <sz val="9"/>
      <color rgb="FF718096"/>
      <name val="Arial"/>
      <family val="2"/>
    </font>
    <font>
      <sz val="10"/>
      <color rgb="FFC0392B"/>
      <name val="Arial"/>
      <family val="2"/>
    </font>
    <font>
      <sz val="10"/>
      <color rgb="FFC0392B"/>
      <name val="Noto Sans CJK SC"/>
    </font>
    <font>
      <b/>
      <sz val="10"/>
      <color rgb="FF0000FF"/>
      <name val="Arial"/>
      <family val="2"/>
    </font>
    <font>
      <b/>
      <sz val="10"/>
      <color rgb="FF1A5FA8"/>
      <name val="Arial"/>
      <family val="2"/>
    </font>
    <font>
      <sz val="10"/>
      <color rgb="FF1A7A4A"/>
      <name val="Noto Sans CJK SC"/>
    </font>
    <font>
      <sz val="10"/>
      <color rgb="FF2176C7"/>
      <name val="Arial"/>
      <family val="2"/>
    </font>
    <font>
      <b/>
      <sz val="10"/>
      <color rgb="FF2176C7"/>
      <name val="Noto Sans CJK SC"/>
    </font>
    <font>
      <b/>
      <sz val="10"/>
      <color rgb="FF2D3748"/>
      <name val="Arial"/>
      <family val="2"/>
    </font>
    <font>
      <i/>
      <sz val="10"/>
      <color rgb="FF2D3748"/>
      <name val="Arial"/>
      <family val="2"/>
    </font>
    <font>
      <b/>
      <sz val="10"/>
      <color rgb="FFC0580A"/>
      <name val="Noto Sans CJK SC"/>
    </font>
    <font>
      <b/>
      <sz val="9"/>
      <color rgb="FF1A7A4A"/>
      <name val="Noto Sans CJK SC"/>
    </font>
    <font>
      <b/>
      <sz val="11"/>
      <color rgb="FF2D3748"/>
      <name val="Arial"/>
      <family val="2"/>
    </font>
    <font>
      <b/>
      <sz val="10"/>
      <color rgb="FFC0392B"/>
      <name val="Noto Sans CJK SC"/>
    </font>
    <font>
      <sz val="9"/>
      <color rgb="FFFFFFFF"/>
      <name val="Noto Sans CJK SC"/>
    </font>
    <font>
      <i/>
      <sz val="10"/>
      <color rgb="FF718096"/>
      <name val="Noto Sans CJK SC"/>
    </font>
    <font>
      <i/>
      <sz val="10"/>
      <color rgb="FF718096"/>
      <name val="Arial"/>
      <family val="2"/>
    </font>
    <font>
      <b/>
      <sz val="14"/>
      <color rgb="FFFFFFFF"/>
      <name val="Arial"/>
      <family val="2"/>
    </font>
    <font>
      <sz val="10"/>
      <color rgb="FFFFFFFF"/>
      <name val="Noto Sans CJK SC"/>
    </font>
    <font>
      <b/>
      <sz val="10"/>
      <color rgb="FF008000"/>
      <name val="Noto Sans CJK SC"/>
    </font>
    <font>
      <b/>
      <sz val="9"/>
      <color rgb="FFFFFFFF"/>
      <name val="Arial"/>
      <family val="2"/>
    </font>
    <font>
      <b/>
      <sz val="16"/>
      <color rgb="FFFFFFFF"/>
      <name val="Noto Sans CJK SC"/>
    </font>
    <font>
      <b/>
      <sz val="24"/>
      <color rgb="FFFFFFFF"/>
      <name val="Arial"/>
      <family val="2"/>
    </font>
    <font>
      <b/>
      <sz val="16"/>
      <color rgb="FFFFFFFF"/>
      <name val="Arial"/>
      <family val="2"/>
    </font>
    <font>
      <b/>
      <sz val="10"/>
      <color rgb="FFC0580A"/>
      <name val="Arial"/>
      <family val="2"/>
    </font>
    <font>
      <b/>
      <sz val="10"/>
      <color rgb="FF1A5FA8"/>
      <name val="Noto Sans CJK SC"/>
    </font>
    <font>
      <b/>
      <sz val="14"/>
      <color rgb="FFFFFFFF"/>
      <name val="Noto Sans CJK SC"/>
    </font>
    <font>
      <sz val="10"/>
      <color rgb="FFFFFFFF"/>
      <name val="Arial"/>
      <family val="2"/>
    </font>
    <font>
      <i/>
      <sz val="11"/>
      <color rgb="FF0D2137"/>
      <name val="Arial"/>
      <family val="2"/>
    </font>
    <font>
      <b/>
      <sz val="12"/>
      <color rgb="FFFFFFFF"/>
      <name val="Noto Sans CJK SC"/>
    </font>
    <font>
      <b/>
      <sz val="15"/>
      <color rgb="FFFFFFFF"/>
      <name val="Arial"/>
      <family val="2"/>
    </font>
    <font>
      <b/>
      <sz val="15"/>
      <color rgb="FFFFFFFF"/>
      <name val="Noto Sans CJK SC"/>
    </font>
    <font>
      <i/>
      <sz val="11"/>
      <color rgb="FF0D2137"/>
      <name val="Noto Sans CJK SC"/>
    </font>
    <font>
      <i/>
      <sz val="10"/>
      <color rgb="FF2D3748"/>
      <name val="Noto Sans CJK SC"/>
    </font>
    <font>
      <b/>
      <sz val="9"/>
      <color rgb="FF2D3748"/>
      <name val="Arial"/>
      <family val="2"/>
    </font>
    <font>
      <b/>
      <sz val="9"/>
      <color rgb="FFFFFFFF"/>
      <name val="Noto Sans CJK SC"/>
    </font>
    <font>
      <b/>
      <sz val="11"/>
      <color rgb="FF2D3748"/>
      <name val="Noto Sans CJK SC"/>
    </font>
    <font>
      <sz val="8"/>
      <name val="돋움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2176C7"/>
        <bgColor rgb="FF1A5FA8"/>
      </patternFill>
    </fill>
    <fill>
      <patternFill patternType="solid">
        <fgColor rgb="FFF5F7FA"/>
        <bgColor rgb="FFF8F9FA"/>
      </patternFill>
    </fill>
    <fill>
      <patternFill patternType="solid">
        <fgColor rgb="FFFFFDE7"/>
        <bgColor rgb="FFFFF9E6"/>
      </patternFill>
    </fill>
    <fill>
      <patternFill patternType="solid">
        <fgColor rgb="FFF0FFF4"/>
        <bgColor rgb="FFF8F9FA"/>
      </patternFill>
    </fill>
    <fill>
      <patternFill patternType="solid">
        <fgColor rgb="FF1A7A4A"/>
        <bgColor rgb="FF145E38"/>
      </patternFill>
    </fill>
    <fill>
      <patternFill patternType="solid">
        <fgColor rgb="FF145E38"/>
        <bgColor rgb="FF1A7A4A"/>
      </patternFill>
    </fill>
    <fill>
      <patternFill patternType="solid">
        <fgColor rgb="FF0D2137"/>
        <bgColor rgb="FF003300"/>
      </patternFill>
    </fill>
    <fill>
      <patternFill patternType="solid">
        <fgColor rgb="FF0D47A1"/>
        <bgColor rgb="FF1A5FA8"/>
      </patternFill>
    </fill>
    <fill>
      <patternFill patternType="solid">
        <fgColor rgb="FFEBF3FC"/>
        <bgColor rgb="FFE8F0FE"/>
      </patternFill>
    </fill>
    <fill>
      <patternFill patternType="solid">
        <fgColor rgb="FFE8F0FE"/>
        <bgColor rgb="FFEBF3FC"/>
      </patternFill>
    </fill>
    <fill>
      <patternFill patternType="solid">
        <fgColor rgb="FFFFFFFF"/>
        <bgColor rgb="FFF8F9FA"/>
      </patternFill>
    </fill>
    <fill>
      <patternFill patternType="solid">
        <fgColor rgb="FFFFF9E6"/>
        <bgColor rgb="FFFFFDE7"/>
      </patternFill>
    </fill>
    <fill>
      <patternFill patternType="solid">
        <fgColor rgb="FF1A5FA8"/>
        <bgColor rgb="FF0D47A1"/>
      </patternFill>
    </fill>
    <fill>
      <patternFill patternType="solid">
        <fgColor rgb="FFFFF8F0"/>
        <bgColor rgb="FFFFF9E6"/>
      </patternFill>
    </fill>
    <fill>
      <patternFill patternType="solid">
        <fgColor rgb="FFF8F9FA"/>
        <bgColor rgb="FFF5F7FA"/>
      </patternFill>
    </fill>
    <fill>
      <patternFill patternType="solid">
        <fgColor rgb="FFC0392B"/>
        <bgColor rgb="FFC0580A"/>
      </patternFill>
    </fill>
  </fills>
  <borders count="38">
    <border>
      <left/>
      <right/>
      <top/>
      <bottom/>
      <diagonal/>
    </border>
    <border diagonalUp="1" diagonalDown="1">
      <left style="thin">
        <color rgb="FF2176C7"/>
      </left>
      <right/>
      <top style="thin">
        <color rgb="FF2176C7"/>
      </top>
      <bottom style="thin">
        <color rgb="FF2176C7"/>
      </bottom>
      <diagonal/>
    </border>
    <border diagonalUp="1" diagonalDown="1">
      <left style="thin">
        <color rgb="FFD1DCE8"/>
      </left>
      <right style="thin">
        <color rgb="FFD1DCE8"/>
      </right>
      <top style="thin">
        <color rgb="FFD1DCE8"/>
      </top>
      <bottom style="thin">
        <color rgb="FFD1DCE8"/>
      </bottom>
      <diagonal/>
    </border>
    <border diagonalUp="1" diagonalDown="1">
      <left style="medium">
        <color rgb="FFE6B800"/>
      </left>
      <right style="medium">
        <color rgb="FFE6B800"/>
      </right>
      <top style="medium">
        <color rgb="FFE6B800"/>
      </top>
      <bottom style="medium">
        <color rgb="FFE6B800"/>
      </bottom>
      <diagonal/>
    </border>
    <border diagonalUp="1" diagonalDown="1">
      <left style="medium">
        <color rgb="FF1A7A4A"/>
      </left>
      <right style="medium">
        <color rgb="FF1A7A4A"/>
      </right>
      <top style="medium">
        <color rgb="FF1A7A4A"/>
      </top>
      <bottom style="medium">
        <color rgb="FF1A7A4A"/>
      </bottom>
      <diagonal/>
    </border>
    <border diagonalUp="1" diagonalDown="1">
      <left style="thin">
        <color rgb="FF1A7A4A"/>
      </left>
      <right style="thin">
        <color rgb="FF1A7A4A"/>
      </right>
      <top style="thin">
        <color rgb="FF1A7A4A"/>
      </top>
      <bottom style="thin">
        <color rgb="FF1A7A4A"/>
      </bottom>
      <diagonal/>
    </border>
    <border diagonalUp="1" diagonalDown="1">
      <left style="thin">
        <color rgb="FF145E38"/>
      </left>
      <right style="thin">
        <color rgb="FF145E38"/>
      </right>
      <top style="thin">
        <color rgb="FF145E38"/>
      </top>
      <bottom style="thin">
        <color rgb="FF145E38"/>
      </bottom>
      <diagonal/>
    </border>
    <border diagonalUp="1" diagonalDown="1">
      <left style="thin">
        <color rgb="FF0D2137"/>
      </left>
      <right style="thin">
        <color rgb="FF0D2137"/>
      </right>
      <top style="thin">
        <color rgb="FF0D2137"/>
      </top>
      <bottom style="thin">
        <color rgb="FF0D2137"/>
      </bottom>
      <diagonal/>
    </border>
    <border diagonalUp="1" diagonalDown="1">
      <left style="thin">
        <color rgb="FF2176C7"/>
      </left>
      <right style="thin">
        <color rgb="FF2176C7"/>
      </right>
      <top style="thin">
        <color rgb="FF2176C7"/>
      </top>
      <bottom style="thin">
        <color rgb="FF2176C7"/>
      </bottom>
      <diagonal/>
    </border>
    <border diagonalUp="1" diagonalDown="1">
      <left style="thin">
        <color rgb="FF0D47A1"/>
      </left>
      <right style="thin">
        <color rgb="FF0D47A1"/>
      </right>
      <top style="thin">
        <color rgb="FF0D47A1"/>
      </top>
      <bottom style="thin">
        <color rgb="FF0D47A1"/>
      </bottom>
      <diagonal/>
    </border>
    <border diagonalUp="1" diagonalDown="1">
      <left style="thin">
        <color rgb="FFF5F7FA"/>
      </left>
      <right/>
      <top style="thin">
        <color rgb="FFF5F7FA"/>
      </top>
      <bottom style="thin">
        <color rgb="FFF5F7FA"/>
      </bottom>
      <diagonal/>
    </border>
    <border diagonalUp="1" diagonalDown="1">
      <left/>
      <right/>
      <top style="thin">
        <color rgb="FFF5F7FA"/>
      </top>
      <bottom style="thin">
        <color rgb="FFF5F7FA"/>
      </bottom>
      <diagonal/>
    </border>
    <border diagonalUp="1" diagonalDown="1">
      <left style="medium">
        <color rgb="FF2176C7"/>
      </left>
      <right style="thin">
        <color rgb="FFD1DCE8"/>
      </right>
      <top style="thin">
        <color rgb="FFD1DCE8"/>
      </top>
      <bottom style="thin">
        <color rgb="FFD1DCE8"/>
      </bottom>
      <diagonal/>
    </border>
    <border diagonalUp="1" diagonalDown="1">
      <left style="medium">
        <color rgb="FFC0580A"/>
      </left>
      <right style="thin">
        <color rgb="FFD1DCE8"/>
      </right>
      <top style="thin">
        <color rgb="FFD1DCE8"/>
      </top>
      <bottom style="thin">
        <color rgb="FFD1DCE8"/>
      </bottom>
      <diagonal/>
    </border>
    <border diagonalUp="1" diagonalDown="1">
      <left style="thin">
        <color rgb="FF0D2137"/>
      </left>
      <right/>
      <top style="thin">
        <color rgb="FF0D2137"/>
      </top>
      <bottom style="thin">
        <color rgb="FF0D2137"/>
      </bottom>
      <diagonal/>
    </border>
    <border diagonalUp="1" diagonalDown="1">
      <left style="thin">
        <color rgb="FF1A5FA8"/>
      </left>
      <right/>
      <top style="thin">
        <color rgb="FF1A5FA8"/>
      </top>
      <bottom style="thin">
        <color rgb="FF1A5FA8"/>
      </bottom>
      <diagonal/>
    </border>
    <border diagonalUp="1" diagonalDown="1">
      <left style="thin">
        <color rgb="FFD1DCE8"/>
      </left>
      <right/>
      <top style="thin">
        <color rgb="FFD1DCE8"/>
      </top>
      <bottom style="thin">
        <color rgb="FFD1DCE8"/>
      </bottom>
      <diagonal/>
    </border>
    <border diagonalUp="1" diagonalDown="1">
      <left style="thin">
        <color rgb="FF1A7A4A"/>
      </left>
      <right/>
      <top style="thin">
        <color rgb="FF1A7A4A"/>
      </top>
      <bottom style="thin">
        <color rgb="FF1A7A4A"/>
      </bottom>
      <diagonal/>
    </border>
    <border diagonalUp="1" diagonalDown="1">
      <left style="medium">
        <color rgb="FF718096"/>
      </left>
      <right/>
      <top style="thin">
        <color rgb="FFD1DCE8"/>
      </top>
      <bottom style="thin">
        <color rgb="FFD1DCE8"/>
      </bottom>
      <diagonal/>
    </border>
    <border diagonalUp="1" diagonalDown="1">
      <left style="medium">
        <color rgb="FFE6B800"/>
      </left>
      <right/>
      <top style="thin">
        <color rgb="FFD1DCE8"/>
      </top>
      <bottom style="thin">
        <color rgb="FFD1DCE8"/>
      </bottom>
      <diagonal/>
    </border>
    <border diagonalUp="1" diagonalDown="1">
      <left style="thin">
        <color rgb="FF145E38"/>
      </left>
      <right/>
      <top style="thin">
        <color rgb="FF145E38"/>
      </top>
      <bottom style="thin">
        <color rgb="FF145E38"/>
      </bottom>
      <diagonal/>
    </border>
    <border diagonalUp="1" diagonalDown="1">
      <left style="medium">
        <color rgb="FFC0580A"/>
      </left>
      <right/>
      <top style="thin">
        <color rgb="FFD1DCE8"/>
      </top>
      <bottom style="thin">
        <color rgb="FFD1DCE8"/>
      </bottom>
      <diagonal/>
    </border>
    <border diagonalUp="1" diagonalDown="1">
      <left style="medium">
        <color rgb="FF2176C7"/>
      </left>
      <right/>
      <top style="thin">
        <color rgb="FFD1DCE8"/>
      </top>
      <bottom style="thin">
        <color rgb="FFD1DCE8"/>
      </bottom>
      <diagonal/>
    </border>
    <border diagonalUp="1" diagonalDown="1">
      <left style="thin">
        <color rgb="FF1A5FA8"/>
      </left>
      <right style="thin">
        <color rgb="FF1A5FA8"/>
      </right>
      <top style="thin">
        <color rgb="FF1A5FA8"/>
      </top>
      <bottom style="thin">
        <color rgb="FF1A5FA8"/>
      </bottom>
      <diagonal/>
    </border>
    <border diagonalUp="1" diagonalDown="1">
      <left style="thin">
        <color rgb="FFC0392B"/>
      </left>
      <right style="thin">
        <color rgb="FFC0392B"/>
      </right>
      <top style="thin">
        <color rgb="FFC0392B"/>
      </top>
      <bottom style="thin">
        <color rgb="FFC0392B"/>
      </bottom>
      <diagonal/>
    </border>
    <border diagonalUp="1" diagonalDown="1">
      <left style="thin">
        <color rgb="FFFFF9E6"/>
      </left>
      <right style="thin">
        <color rgb="FFFFF9E6"/>
      </right>
      <top style="thin">
        <color rgb="FFFFF9E6"/>
      </top>
      <bottom style="thin">
        <color rgb="FFFFF9E6"/>
      </bottom>
      <diagonal/>
    </border>
    <border diagonalUp="1" diagonalDown="1">
      <left style="thin">
        <color rgb="FFF5F7FA"/>
      </left>
      <right style="thin">
        <color rgb="FFF5F7FA"/>
      </right>
      <top style="thin">
        <color rgb="FFF5F7FA"/>
      </top>
      <bottom style="thin">
        <color rgb="FFF5F7FA"/>
      </bottom>
      <diagonal/>
    </border>
    <border>
      <left style="thin">
        <color rgb="FF2176C7"/>
      </left>
      <right/>
      <top style="thin">
        <color rgb="FF2176C7"/>
      </top>
      <bottom style="thin">
        <color rgb="FF2176C7"/>
      </bottom>
      <diagonal/>
    </border>
    <border>
      <left/>
      <right/>
      <top style="thin">
        <color rgb="FF2176C7"/>
      </top>
      <bottom style="thin">
        <color rgb="FF2176C7"/>
      </bottom>
      <diagonal/>
    </border>
    <border>
      <left style="thin">
        <color rgb="FFD1DCE8"/>
      </left>
      <right/>
      <top style="thin">
        <color rgb="FF0D2137"/>
      </top>
      <bottom/>
      <diagonal/>
    </border>
    <border>
      <left/>
      <right/>
      <top style="thin">
        <color rgb="FF0D2137"/>
      </top>
      <bottom/>
      <diagonal/>
    </border>
    <border>
      <left/>
      <right style="thin">
        <color rgb="FFD1DCE8"/>
      </right>
      <top style="thin">
        <color rgb="FF0D2137"/>
      </top>
      <bottom/>
      <diagonal/>
    </border>
    <border>
      <left style="thin">
        <color rgb="FFD1DCE8"/>
      </left>
      <right/>
      <top/>
      <bottom/>
      <diagonal/>
    </border>
    <border>
      <left/>
      <right style="medium">
        <color rgb="FF1A7A4A"/>
      </right>
      <top/>
      <bottom/>
      <diagonal/>
    </border>
    <border>
      <left/>
      <right style="thin">
        <color rgb="FFD1DCE8"/>
      </right>
      <top/>
      <bottom/>
      <diagonal/>
    </border>
    <border>
      <left style="thin">
        <color rgb="FFD1DCE8"/>
      </left>
      <right/>
      <top/>
      <bottom style="thin">
        <color rgb="FFD1DCE8"/>
      </bottom>
      <diagonal/>
    </border>
    <border>
      <left/>
      <right/>
      <top/>
      <bottom style="thin">
        <color rgb="FFD1DCE8"/>
      </bottom>
      <diagonal/>
    </border>
    <border>
      <left/>
      <right style="thin">
        <color rgb="FFD1DCE8"/>
      </right>
      <top/>
      <bottom style="thin">
        <color rgb="FFD1DCE8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1" fillId="14" borderId="15" xfId="0" applyFont="1" applyFill="1" applyBorder="1" applyAlignment="1">
      <alignment horizontal="left" vertical="center"/>
    </xf>
    <xf numFmtId="0" fontId="22" fillId="3" borderId="18" xfId="0" applyFont="1" applyFill="1" applyBorder="1" applyAlignment="1">
      <alignment horizontal="left" vertical="center"/>
    </xf>
    <xf numFmtId="0" fontId="1" fillId="8" borderId="14" xfId="0" applyFont="1" applyFill="1" applyBorder="1" applyAlignment="1">
      <alignment horizontal="left" vertical="center"/>
    </xf>
    <xf numFmtId="3" fontId="48" fillId="7" borderId="20" xfId="0" applyNumberFormat="1" applyFont="1" applyFill="1" applyBorder="1" applyAlignment="1">
      <alignment horizontal="center" vertical="center"/>
    </xf>
    <xf numFmtId="0" fontId="19" fillId="7" borderId="20" xfId="0" applyFont="1" applyFill="1" applyBorder="1" applyAlignment="1">
      <alignment horizontal="left" vertical="center"/>
    </xf>
    <xf numFmtId="3" fontId="47" fillId="6" borderId="17" xfId="0" applyNumberFormat="1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left" vertical="center"/>
    </xf>
    <xf numFmtId="0" fontId="2" fillId="13" borderId="19" xfId="0" applyFont="1" applyFill="1" applyBorder="1" applyAlignment="1">
      <alignment horizontal="left" vertical="center"/>
    </xf>
    <xf numFmtId="0" fontId="22" fillId="3" borderId="18" xfId="0" applyFont="1" applyFill="1" applyBorder="1" applyAlignment="1">
      <alignment horizontal="left" vertical="center" wrapText="1"/>
    </xf>
    <xf numFmtId="0" fontId="1" fillId="6" borderId="17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46" fillId="8" borderId="14" xfId="0" applyFont="1" applyFill="1" applyBorder="1" applyAlignment="1">
      <alignment horizontal="left" vertical="center"/>
    </xf>
    <xf numFmtId="0" fontId="45" fillId="7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 wrapText="1"/>
    </xf>
    <xf numFmtId="3" fontId="6" fillId="5" borderId="4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3" fontId="8" fillId="4" borderId="3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3" fontId="0" fillId="0" borderId="0" xfId="0" applyNumberFormat="1"/>
    <xf numFmtId="0" fontId="9" fillId="3" borderId="2" xfId="0" applyFont="1" applyFill="1" applyBorder="1" applyAlignment="1">
      <alignment horizontal="left" vertical="center"/>
    </xf>
    <xf numFmtId="3" fontId="10" fillId="3" borderId="2" xfId="0" applyNumberFormat="1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left" vertical="center"/>
    </xf>
    <xf numFmtId="0" fontId="1" fillId="7" borderId="6" xfId="0" applyFont="1" applyFill="1" applyBorder="1" applyAlignment="1">
      <alignment horizontal="left" vertical="center"/>
    </xf>
    <xf numFmtId="0" fontId="12" fillId="8" borderId="7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left" vertical="center"/>
    </xf>
    <xf numFmtId="3" fontId="15" fillId="3" borderId="2" xfId="0" applyNumberFormat="1" applyFont="1" applyFill="1" applyBorder="1" applyAlignment="1">
      <alignment horizontal="center" vertical="center"/>
    </xf>
    <xf numFmtId="3" fontId="16" fillId="10" borderId="2" xfId="0" applyNumberFormat="1" applyFont="1" applyFill="1" applyBorder="1" applyAlignment="1">
      <alignment horizontal="center" vertical="center"/>
    </xf>
    <xf numFmtId="3" fontId="17" fillId="11" borderId="2" xfId="0" applyNumberFormat="1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left" vertical="center"/>
    </xf>
    <xf numFmtId="3" fontId="15" fillId="12" borderId="2" xfId="0" applyNumberFormat="1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left" vertical="center"/>
    </xf>
    <xf numFmtId="3" fontId="13" fillId="6" borderId="2" xfId="0" applyNumberFormat="1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left" vertical="center"/>
    </xf>
    <xf numFmtId="3" fontId="19" fillId="6" borderId="2" xfId="0" applyNumberFormat="1" applyFont="1" applyFill="1" applyBorder="1" applyAlignment="1">
      <alignment horizontal="center" vertical="center"/>
    </xf>
    <xf numFmtId="3" fontId="19" fillId="7" borderId="2" xfId="0" applyNumberFormat="1" applyFont="1" applyFill="1" applyBorder="1" applyAlignment="1">
      <alignment horizontal="center" vertical="center"/>
    </xf>
    <xf numFmtId="3" fontId="20" fillId="12" borderId="2" xfId="0" applyNumberFormat="1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left" vertical="center"/>
    </xf>
    <xf numFmtId="3" fontId="21" fillId="5" borderId="4" xfId="0" applyNumberFormat="1" applyFont="1" applyFill="1" applyBorder="1" applyAlignment="1">
      <alignment horizontal="center" vertical="center"/>
    </xf>
    <xf numFmtId="3" fontId="20" fillId="3" borderId="2" xfId="0" applyNumberFormat="1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left" vertical="center"/>
    </xf>
    <xf numFmtId="3" fontId="18" fillId="3" borderId="2" xfId="0" applyNumberFormat="1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left" vertical="center"/>
    </xf>
    <xf numFmtId="0" fontId="18" fillId="12" borderId="2" xfId="0" applyFont="1" applyFill="1" applyBorder="1" applyAlignment="1">
      <alignment horizontal="left" vertical="center"/>
    </xf>
    <xf numFmtId="3" fontId="18" fillId="12" borderId="2" xfId="0" applyNumberFormat="1" applyFont="1" applyFill="1" applyBorder="1" applyAlignment="1">
      <alignment horizontal="center" vertical="center"/>
    </xf>
    <xf numFmtId="0" fontId="22" fillId="12" borderId="2" xfId="0" applyFont="1" applyFill="1" applyBorder="1" applyAlignment="1">
      <alignment horizontal="left" vertical="center"/>
    </xf>
    <xf numFmtId="0" fontId="23" fillId="5" borderId="2" xfId="0" applyFont="1" applyFill="1" applyBorder="1" applyAlignment="1">
      <alignment horizontal="left" vertical="center"/>
    </xf>
    <xf numFmtId="3" fontId="24" fillId="5" borderId="2" xfId="0" applyNumberFormat="1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left" vertical="center"/>
    </xf>
    <xf numFmtId="0" fontId="22" fillId="5" borderId="2" xfId="0" applyFont="1" applyFill="1" applyBorder="1" applyAlignment="1">
      <alignment horizontal="left" vertical="center"/>
    </xf>
    <xf numFmtId="0" fontId="22" fillId="3" borderId="2" xfId="0" applyFont="1" applyFill="1" applyBorder="1" applyAlignment="1">
      <alignment horizontal="left" vertical="center" wrapText="1"/>
    </xf>
    <xf numFmtId="0" fontId="2" fillId="12" borderId="2" xfId="0" applyFont="1" applyFill="1" applyBorder="1" applyAlignment="1">
      <alignment horizontal="left" vertical="center"/>
    </xf>
    <xf numFmtId="0" fontId="22" fillId="12" borderId="2" xfId="0" applyFont="1" applyFill="1" applyBorder="1" applyAlignment="1">
      <alignment horizontal="left" vertical="center" wrapText="1"/>
    </xf>
    <xf numFmtId="0" fontId="25" fillId="12" borderId="2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/>
    </xf>
    <xf numFmtId="0" fontId="0" fillId="0" borderId="11" xfId="0" applyBorder="1"/>
    <xf numFmtId="0" fontId="14" fillId="3" borderId="2" xfId="0" applyFont="1" applyFill="1" applyBorder="1" applyAlignment="1">
      <alignment horizontal="left" vertical="center" wrapText="1"/>
    </xf>
    <xf numFmtId="0" fontId="26" fillId="3" borderId="2" xfId="0" applyFont="1" applyFill="1" applyBorder="1" applyAlignment="1">
      <alignment horizontal="left" vertical="center" wrapText="1"/>
    </xf>
    <xf numFmtId="0" fontId="23" fillId="5" borderId="2" xfId="0" applyFont="1" applyFill="1" applyBorder="1" applyAlignment="1">
      <alignment horizontal="left" vertical="center" wrapText="1"/>
    </xf>
    <xf numFmtId="0" fontId="14" fillId="12" borderId="2" xfId="0" applyFont="1" applyFill="1" applyBorder="1" applyAlignment="1">
      <alignment horizontal="left" vertical="center" wrapText="1"/>
    </xf>
    <xf numFmtId="0" fontId="27" fillId="12" borderId="2" xfId="0" applyFont="1" applyFill="1" applyBorder="1" applyAlignment="1">
      <alignment horizontal="left" vertical="center" wrapText="1"/>
    </xf>
    <xf numFmtId="3" fontId="28" fillId="4" borderId="2" xfId="0" applyNumberFormat="1" applyFont="1" applyFill="1" applyBorder="1" applyAlignment="1">
      <alignment horizontal="center" vertical="center"/>
    </xf>
    <xf numFmtId="3" fontId="29" fillId="10" borderId="2" xfId="0" applyNumberFormat="1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center" vertical="center"/>
    </xf>
    <xf numFmtId="0" fontId="30" fillId="12" borderId="2" xfId="0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3" fontId="31" fillId="3" borderId="2" xfId="0" applyNumberFormat="1" applyFont="1" applyFill="1" applyBorder="1" applyAlignment="1">
      <alignment horizontal="center" vertical="center"/>
    </xf>
    <xf numFmtId="3" fontId="31" fillId="12" borderId="2" xfId="0" applyNumberFormat="1" applyFont="1" applyFill="1" applyBorder="1" applyAlignment="1">
      <alignment horizontal="center" vertical="center"/>
    </xf>
    <xf numFmtId="3" fontId="13" fillId="2" borderId="2" xfId="0" applyNumberFormat="1" applyFont="1" applyFill="1" applyBorder="1" applyAlignment="1">
      <alignment horizontal="center" vertical="center"/>
    </xf>
    <xf numFmtId="0" fontId="32" fillId="12" borderId="2" xfId="0" applyFont="1" applyFill="1" applyBorder="1" applyAlignment="1">
      <alignment horizontal="left" vertical="center"/>
    </xf>
    <xf numFmtId="0" fontId="33" fillId="13" borderId="12" xfId="0" applyFont="1" applyFill="1" applyBorder="1" applyAlignment="1">
      <alignment horizontal="left" vertical="center" wrapText="1"/>
    </xf>
    <xf numFmtId="0" fontId="34" fillId="3" borderId="2" xfId="0" applyFont="1" applyFill="1" applyBorder="1" applyAlignment="1">
      <alignment horizontal="left" vertical="center" wrapText="1"/>
    </xf>
    <xf numFmtId="0" fontId="35" fillId="13" borderId="2" xfId="0" applyFont="1" applyFill="1" applyBorder="1" applyAlignment="1">
      <alignment horizontal="left" vertical="center"/>
    </xf>
    <xf numFmtId="0" fontId="14" fillId="13" borderId="13" xfId="0" applyFont="1" applyFill="1" applyBorder="1" applyAlignment="1">
      <alignment horizontal="left" vertical="center" wrapText="1"/>
    </xf>
    <xf numFmtId="0" fontId="36" fillId="5" borderId="2" xfId="0" applyFont="1" applyFill="1" applyBorder="1" applyAlignment="1">
      <alignment horizontal="left" vertical="center"/>
    </xf>
    <xf numFmtId="0" fontId="18" fillId="13" borderId="13" xfId="0" applyFont="1" applyFill="1" applyBorder="1" applyAlignment="1">
      <alignment horizontal="left" vertical="center" wrapText="1"/>
    </xf>
    <xf numFmtId="0" fontId="24" fillId="5" borderId="2" xfId="0" applyFont="1" applyFill="1" applyBorder="1" applyAlignment="1">
      <alignment horizontal="left" vertical="center"/>
    </xf>
    <xf numFmtId="0" fontId="37" fillId="13" borderId="13" xfId="0" applyFont="1" applyFill="1" applyBorder="1" applyAlignment="1">
      <alignment horizontal="left" vertical="center" wrapText="1"/>
    </xf>
    <xf numFmtId="0" fontId="33" fillId="5" borderId="2" xfId="0" applyFont="1" applyFill="1" applyBorder="1" applyAlignment="1">
      <alignment horizontal="center" vertical="center"/>
    </xf>
    <xf numFmtId="0" fontId="24" fillId="5" borderId="2" xfId="0" applyFont="1" applyFill="1" applyBorder="1" applyAlignment="1">
      <alignment horizontal="center" vertical="center"/>
    </xf>
    <xf numFmtId="0" fontId="38" fillId="5" borderId="2" xfId="0" applyFont="1" applyFill="1" applyBorder="1" applyAlignment="1">
      <alignment horizontal="center" vertical="center"/>
    </xf>
    <xf numFmtId="3" fontId="24" fillId="3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3" fontId="24" fillId="12" borderId="2" xfId="0" applyNumberFormat="1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39" fillId="6" borderId="2" xfId="0" applyFont="1" applyFill="1" applyBorder="1" applyAlignment="1">
      <alignment horizontal="center" vertical="center"/>
    </xf>
    <xf numFmtId="0" fontId="26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15" fillId="12" borderId="2" xfId="0" applyFont="1" applyFill="1" applyBorder="1" applyAlignment="1">
      <alignment horizontal="center" vertical="center"/>
    </xf>
    <xf numFmtId="0" fontId="0" fillId="12" borderId="2" xfId="0" applyFill="1" applyBorder="1"/>
    <xf numFmtId="0" fontId="25" fillId="12" borderId="2" xfId="0" applyFont="1" applyFill="1" applyBorder="1" applyAlignment="1">
      <alignment horizontal="left" vertical="center"/>
    </xf>
    <xf numFmtId="0" fontId="27" fillId="5" borderId="2" xfId="0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0" fillId="5" borderId="2" xfId="0" applyFill="1" applyBorder="1"/>
    <xf numFmtId="0" fontId="25" fillId="5" borderId="2" xfId="0" applyFont="1" applyFill="1" applyBorder="1" applyAlignment="1">
      <alignment horizontal="left" vertical="center"/>
    </xf>
    <xf numFmtId="0" fontId="40" fillId="4" borderId="3" xfId="0" applyFont="1" applyFill="1" applyBorder="1" applyAlignment="1">
      <alignment horizontal="left" vertical="center"/>
    </xf>
    <xf numFmtId="0" fontId="41" fillId="4" borderId="3" xfId="0" applyFont="1" applyFill="1" applyBorder="1" applyAlignment="1">
      <alignment horizontal="left" vertical="center"/>
    </xf>
    <xf numFmtId="0" fontId="14" fillId="3" borderId="16" xfId="0" applyFont="1" applyFill="1" applyBorder="1" applyAlignment="1">
      <alignment horizontal="left" vertical="center"/>
    </xf>
    <xf numFmtId="0" fontId="49" fillId="15" borderId="21" xfId="0" applyFont="1" applyFill="1" applyBorder="1" applyAlignment="1">
      <alignment horizontal="left" vertical="center"/>
    </xf>
    <xf numFmtId="0" fontId="12" fillId="14" borderId="15" xfId="0" applyFont="1" applyFill="1" applyBorder="1" applyAlignment="1">
      <alignment horizontal="left" vertical="center"/>
    </xf>
    <xf numFmtId="0" fontId="22" fillId="16" borderId="18" xfId="0" applyFont="1" applyFill="1" applyBorder="1" applyAlignment="1">
      <alignment horizontal="left" vertical="center"/>
    </xf>
    <xf numFmtId="0" fontId="0" fillId="0" borderId="0" xfId="0"/>
    <xf numFmtId="0" fontId="22" fillId="3" borderId="16" xfId="0" applyFont="1" applyFill="1" applyBorder="1" applyAlignment="1">
      <alignment horizontal="left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35" fillId="15" borderId="16" xfId="0" applyFont="1" applyFill="1" applyBorder="1" applyAlignment="1">
      <alignment horizontal="center" vertical="center" wrapText="1"/>
    </xf>
    <xf numFmtId="0" fontId="50" fillId="10" borderId="16" xfId="0" applyFont="1" applyFill="1" applyBorder="1" applyAlignment="1">
      <alignment horizontal="center" vertical="center" wrapText="1"/>
    </xf>
    <xf numFmtId="0" fontId="18" fillId="12" borderId="16" xfId="0" applyFont="1" applyFill="1" applyBorder="1" applyAlignment="1">
      <alignment horizontal="center" vertical="center" wrapText="1"/>
    </xf>
    <xf numFmtId="0" fontId="14" fillId="12" borderId="16" xfId="0" applyFont="1" applyFill="1" applyBorder="1" applyAlignment="1">
      <alignment horizontal="center" vertical="center" wrapText="1"/>
    </xf>
    <xf numFmtId="0" fontId="50" fillId="10" borderId="22" xfId="0" applyFont="1" applyFill="1" applyBorder="1" applyAlignment="1">
      <alignment horizontal="left" vertical="center" wrapText="1"/>
    </xf>
    <xf numFmtId="0" fontId="42" fillId="8" borderId="14" xfId="0" applyFont="1" applyFill="1" applyBorder="1" applyAlignment="1">
      <alignment horizontal="left" vertical="center"/>
    </xf>
    <xf numFmtId="0" fontId="43" fillId="14" borderId="15" xfId="0" applyFont="1" applyFill="1" applyBorder="1" applyAlignment="1">
      <alignment horizontal="left" vertical="center"/>
    </xf>
    <xf numFmtId="0" fontId="44" fillId="5" borderId="16" xfId="0" applyFont="1" applyFill="1" applyBorder="1" applyAlignment="1">
      <alignment horizontal="center" vertical="center"/>
    </xf>
    <xf numFmtId="0" fontId="19" fillId="14" borderId="15" xfId="0" applyFont="1" applyFill="1" applyBorder="1" applyAlignment="1">
      <alignment horizontal="left" vertical="center"/>
    </xf>
    <xf numFmtId="0" fontId="7" fillId="3" borderId="10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  <xf numFmtId="0" fontId="51" fillId="8" borderId="14" xfId="0" applyFont="1" applyFill="1" applyBorder="1" applyAlignment="1">
      <alignment horizontal="left" vertical="center"/>
    </xf>
    <xf numFmtId="0" fontId="43" fillId="14" borderId="15" xfId="0" applyFont="1" applyFill="1" applyBorder="1" applyAlignment="1">
      <alignment horizontal="left" vertical="center" wrapText="1"/>
    </xf>
    <xf numFmtId="0" fontId="51" fillId="8" borderId="7" xfId="0" applyFont="1" applyFill="1" applyBorder="1" applyAlignment="1">
      <alignment horizontal="left" vertical="center"/>
    </xf>
    <xf numFmtId="0" fontId="52" fillId="14" borderId="23" xfId="0" applyFont="1" applyFill="1" applyBorder="1" applyAlignment="1">
      <alignment horizontal="left" vertical="center" wrapText="1"/>
    </xf>
    <xf numFmtId="0" fontId="19" fillId="2" borderId="8" xfId="0" applyFont="1" applyFill="1" applyBorder="1" applyAlignment="1">
      <alignment horizontal="left" vertical="center"/>
    </xf>
    <xf numFmtId="0" fontId="19" fillId="17" borderId="24" xfId="0" applyFont="1" applyFill="1" applyBorder="1" applyAlignment="1">
      <alignment horizontal="left" vertical="center"/>
    </xf>
    <xf numFmtId="0" fontId="13" fillId="8" borderId="7" xfId="0" applyFont="1" applyFill="1" applyBorder="1" applyAlignment="1">
      <alignment horizontal="left" vertical="center"/>
    </xf>
    <xf numFmtId="0" fontId="19" fillId="6" borderId="5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left" vertical="center"/>
    </xf>
    <xf numFmtId="0" fontId="18" fillId="12" borderId="16" xfId="0" applyFont="1" applyFill="1" applyBorder="1" applyAlignment="1">
      <alignment horizontal="left" vertical="center"/>
    </xf>
    <xf numFmtId="0" fontId="18" fillId="3" borderId="16" xfId="0" applyFont="1" applyFill="1" applyBorder="1" applyAlignment="1">
      <alignment horizontal="left" vertical="center"/>
    </xf>
    <xf numFmtId="0" fontId="19" fillId="6" borderId="17" xfId="0" applyFont="1" applyFill="1" applyBorder="1" applyAlignment="1">
      <alignment horizontal="left" vertical="center"/>
    </xf>
    <xf numFmtId="0" fontId="32" fillId="10" borderId="16" xfId="0" applyFont="1" applyFill="1" applyBorder="1" applyAlignment="1">
      <alignment horizontal="center" vertical="center"/>
    </xf>
    <xf numFmtId="0" fontId="53" fillId="10" borderId="22" xfId="0" applyFont="1" applyFill="1" applyBorder="1" applyAlignment="1">
      <alignment horizontal="left" vertical="center" wrapText="1"/>
    </xf>
    <xf numFmtId="0" fontId="54" fillId="14" borderId="23" xfId="0" applyFont="1" applyFill="1" applyBorder="1" applyAlignment="1">
      <alignment horizontal="left" vertical="center"/>
    </xf>
    <xf numFmtId="0" fontId="12" fillId="8" borderId="7" xfId="0" applyFont="1" applyFill="1" applyBorder="1" applyAlignment="1">
      <alignment horizontal="left" vertical="center"/>
    </xf>
    <xf numFmtId="0" fontId="14" fillId="3" borderId="2" xfId="0" applyFont="1" applyFill="1" applyBorder="1" applyAlignment="1">
      <alignment horizontal="left" vertical="center"/>
    </xf>
    <xf numFmtId="0" fontId="18" fillId="12" borderId="2" xfId="0" applyFont="1" applyFill="1" applyBorder="1" applyAlignment="1">
      <alignment horizontal="left" vertical="center"/>
    </xf>
    <xf numFmtId="0" fontId="18" fillId="3" borderId="2" xfId="0" applyFont="1" applyFill="1" applyBorder="1" applyAlignment="1">
      <alignment horizontal="left" vertical="center"/>
    </xf>
    <xf numFmtId="0" fontId="13" fillId="6" borderId="5" xfId="0" applyFont="1" applyFill="1" applyBorder="1" applyAlignment="1">
      <alignment horizontal="left" vertical="center"/>
    </xf>
    <xf numFmtId="0" fontId="55" fillId="8" borderId="7" xfId="0" applyFont="1" applyFill="1" applyBorder="1" applyAlignment="1">
      <alignment horizontal="left" vertical="center"/>
    </xf>
    <xf numFmtId="0" fontId="43" fillId="2" borderId="8" xfId="0" applyFont="1" applyFill="1" applyBorder="1" applyAlignment="1">
      <alignment horizontal="left" vertical="center"/>
    </xf>
    <xf numFmtId="0" fontId="2" fillId="13" borderId="25" xfId="0" applyFont="1" applyFill="1" applyBorder="1" applyAlignment="1">
      <alignment horizontal="left" vertical="center"/>
    </xf>
    <xf numFmtId="0" fontId="1" fillId="14" borderId="23" xfId="0" applyFont="1" applyFill="1" applyBorder="1" applyAlignment="1">
      <alignment horizontal="left" vertical="center"/>
    </xf>
    <xf numFmtId="0" fontId="14" fillId="12" borderId="2" xfId="0" applyFont="1" applyFill="1" applyBorder="1" applyAlignment="1">
      <alignment horizontal="left" vertical="center"/>
    </xf>
    <xf numFmtId="0" fontId="1" fillId="8" borderId="7" xfId="0" applyFont="1" applyFill="1" applyBorder="1" applyAlignment="1">
      <alignment horizontal="left" vertical="center"/>
    </xf>
    <xf numFmtId="0" fontId="40" fillId="4" borderId="3" xfId="0" applyFont="1" applyFill="1" applyBorder="1" applyAlignment="1">
      <alignment horizontal="left" vertical="top" wrapText="1"/>
    </xf>
    <xf numFmtId="0" fontId="54" fillId="6" borderId="5" xfId="0" applyFont="1" applyFill="1" applyBorder="1" applyAlignment="1">
      <alignment horizontal="left" vertical="center"/>
    </xf>
    <xf numFmtId="0" fontId="1" fillId="7" borderId="6" xfId="0" applyFont="1" applyFill="1" applyBorder="1" applyAlignment="1">
      <alignment horizontal="left" vertical="center"/>
    </xf>
    <xf numFmtId="0" fontId="43" fillId="7" borderId="6" xfId="0" applyFont="1" applyFill="1" applyBorder="1" applyAlignment="1">
      <alignment horizontal="left" vertical="center"/>
    </xf>
    <xf numFmtId="0" fontId="7" fillId="3" borderId="26" xfId="0" applyFont="1" applyFill="1" applyBorder="1" applyAlignment="1">
      <alignment horizontal="left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4" fillId="12" borderId="29" xfId="0" applyFont="1" applyFill="1" applyBorder="1" applyAlignment="1">
      <alignment horizontal="left" vertical="center"/>
    </xf>
    <xf numFmtId="0" fontId="14" fillId="12" borderId="30" xfId="0" applyFont="1" applyFill="1" applyBorder="1" applyAlignment="1">
      <alignment horizontal="left" vertical="center"/>
    </xf>
    <xf numFmtId="0" fontId="14" fillId="12" borderId="31" xfId="0" applyFont="1" applyFill="1" applyBorder="1" applyAlignment="1">
      <alignment horizontal="left" vertical="center"/>
    </xf>
    <xf numFmtId="0" fontId="23" fillId="5" borderId="32" xfId="0" applyFont="1" applyFill="1" applyBorder="1" applyAlignment="1">
      <alignment horizontal="left" vertical="center"/>
    </xf>
    <xf numFmtId="0" fontId="23" fillId="5" borderId="0" xfId="0" applyFont="1" applyFill="1" applyBorder="1" applyAlignment="1">
      <alignment horizontal="left" vertical="center"/>
    </xf>
    <xf numFmtId="0" fontId="23" fillId="5" borderId="33" xfId="0" applyFont="1" applyFill="1" applyBorder="1" applyAlignment="1">
      <alignment horizontal="left" vertical="center"/>
    </xf>
    <xf numFmtId="0" fontId="14" fillId="12" borderId="32" xfId="0" applyFont="1" applyFill="1" applyBorder="1" applyAlignment="1">
      <alignment horizontal="left" vertical="center"/>
    </xf>
    <xf numFmtId="0" fontId="14" fillId="12" borderId="0" xfId="0" applyFont="1" applyFill="1" applyBorder="1" applyAlignment="1">
      <alignment horizontal="left" vertical="center"/>
    </xf>
    <xf numFmtId="0" fontId="14" fillId="12" borderId="34" xfId="0" applyFont="1" applyFill="1" applyBorder="1" applyAlignment="1">
      <alignment horizontal="left" vertical="center"/>
    </xf>
    <xf numFmtId="0" fontId="14" fillId="3" borderId="35" xfId="0" applyFont="1" applyFill="1" applyBorder="1" applyAlignment="1">
      <alignment horizontal="left" vertical="center"/>
    </xf>
    <xf numFmtId="0" fontId="14" fillId="3" borderId="36" xfId="0" applyFont="1" applyFill="1" applyBorder="1" applyAlignment="1">
      <alignment horizontal="left" vertical="center"/>
    </xf>
    <xf numFmtId="0" fontId="14" fillId="3" borderId="37" xfId="0" applyFont="1" applyFill="1" applyBorder="1" applyAlignment="1">
      <alignment horizontal="left" vertical="center"/>
    </xf>
  </cellXfs>
  <cellStyles count="1">
    <cellStyle name="표준" xfId="0" builtinId="0"/>
  </cellStyles>
  <dxfs count="14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left/>
        <right/>
        <top style="medium">
          <color rgb="FF315F97"/>
        </top>
        <bottom style="medium">
          <color rgb="FF315F97"/>
        </bottom>
        <vertical/>
        <horizontal/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A74"/>
  <sheetViews>
    <sheetView showGridLines="0" zoomScaleNormal="100" zoomScaleSheetLayoutView="75" workbookViewId="0"/>
  </sheetViews>
  <sheetFormatPr defaultColWidth="8.7109375" defaultRowHeight="15"/>
  <cols>
    <col min="1" max="1" width="2" customWidth="1"/>
    <col min="2" max="2" width="22" customWidth="1"/>
    <col min="3" max="3" width="14" customWidth="1"/>
    <col min="4" max="4" width="7" customWidth="1"/>
    <col min="5" max="5" width="12.140625" customWidth="1"/>
    <col min="6" max="6" width="29.140625" customWidth="1"/>
    <col min="7" max="7" width="15" customWidth="1"/>
    <col min="8" max="8" width="37.85546875" customWidth="1"/>
    <col min="9" max="9" width="2" customWidth="1"/>
    <col min="11" max="12" width="12.7109375" bestFit="1" customWidth="1"/>
  </cols>
  <sheetData>
    <row r="1" spans="2:27" ht="21.75" customHeight="1">
      <c r="B1" s="14" t="s">
        <v>190</v>
      </c>
      <c r="C1" s="14"/>
      <c r="D1" s="14"/>
      <c r="E1" s="14"/>
      <c r="F1" s="14"/>
      <c r="G1" s="14"/>
      <c r="H1" s="14"/>
    </row>
    <row r="2" spans="2:27" ht="24" customHeight="1">
      <c r="B2" s="13" t="s">
        <v>93</v>
      </c>
      <c r="C2" s="13"/>
      <c r="D2" s="13"/>
      <c r="E2" s="13"/>
      <c r="F2" s="13"/>
      <c r="G2" s="13"/>
      <c r="H2" s="13"/>
    </row>
    <row r="3" spans="2:27" ht="24" customHeight="1">
      <c r="B3" s="12" t="s">
        <v>76</v>
      </c>
      <c r="C3" s="12"/>
      <c r="D3" s="12"/>
      <c r="E3" s="12"/>
      <c r="F3" s="12"/>
      <c r="G3" s="12"/>
      <c r="H3" s="12"/>
    </row>
    <row r="4" spans="2:27" ht="9.75" customHeight="1"/>
    <row r="5" spans="2:27" ht="24" customHeight="1">
      <c r="B5" s="11" t="s">
        <v>203</v>
      </c>
      <c r="C5" s="11"/>
      <c r="D5" s="11"/>
      <c r="F5" s="10" t="s">
        <v>206</v>
      </c>
      <c r="G5" s="10"/>
      <c r="H5" s="10"/>
    </row>
    <row r="6" spans="2:27" ht="73.5" customHeight="1">
      <c r="B6" s="15" t="s">
        <v>220</v>
      </c>
      <c r="C6" s="16" t="s">
        <v>219</v>
      </c>
      <c r="D6" s="17"/>
      <c r="F6" s="18" t="s">
        <v>107</v>
      </c>
      <c r="G6" s="19">
        <f>ROUND((AA9*VLOOKUP(AA9,_기준표!$A$2:$C$7,2,TRUE())-AA9*VLOOKUP(AA9,_기준표!$A$2:$C$7,3,TRUE()))*12*AA8/10000,0)</f>
        <v>4482</v>
      </c>
      <c r="H6" s="20" t="s">
        <v>221</v>
      </c>
      <c r="AA6" t="str">
        <f>C6</f>
        <v>개인사업자</v>
      </c>
    </row>
    <row r="7" spans="2:27" ht="27.75" customHeight="1">
      <c r="B7" s="15" t="s">
        <v>222</v>
      </c>
      <c r="C7" s="21">
        <v>30000</v>
      </c>
      <c r="D7" s="22" t="s">
        <v>20</v>
      </c>
      <c r="F7" s="23" t="s">
        <v>120</v>
      </c>
      <c r="G7" s="19">
        <f>ROUND((AA9*VLOOKUP(AA9,_기준표!$A$2:$C$7,2,TRUE())-AA9*VLOOKUP(AA9,_기준표!$A$2:$C$7,3,TRUE()))*AA11*12*AA8/10000,0)</f>
        <v>1873</v>
      </c>
      <c r="H7" s="20" t="s">
        <v>221</v>
      </c>
      <c r="AA7">
        <f>C7*10000</f>
        <v>300000000</v>
      </c>
    </row>
    <row r="8" spans="2:27" ht="27.75" customHeight="1">
      <c r="B8" s="15" t="s">
        <v>223</v>
      </c>
      <c r="C8" s="21">
        <v>3</v>
      </c>
      <c r="D8" s="22" t="s">
        <v>23</v>
      </c>
      <c r="F8" s="23" t="s">
        <v>118</v>
      </c>
      <c r="G8" s="19">
        <f>ROUND(AA10*AA12/10000,0)</f>
        <v>1500</v>
      </c>
      <c r="H8" s="20" t="s">
        <v>221</v>
      </c>
      <c r="AA8" s="24">
        <f>C8</f>
        <v>3</v>
      </c>
    </row>
    <row r="9" spans="2:27" ht="27.75" customHeight="1">
      <c r="B9" s="15" t="s">
        <v>119</v>
      </c>
      <c r="C9" s="21">
        <v>1500</v>
      </c>
      <c r="D9" s="22" t="s">
        <v>20</v>
      </c>
      <c r="F9" s="25" t="s">
        <v>112</v>
      </c>
      <c r="G9" s="26">
        <f>'💰 페이닥터 절세전략'!D20</f>
        <v>712</v>
      </c>
      <c r="H9" s="22" t="s">
        <v>221</v>
      </c>
      <c r="AA9">
        <f>C9*10000</f>
        <v>15000000</v>
      </c>
    </row>
    <row r="10" spans="2:27" ht="27.75" customHeight="1">
      <c r="B10" s="15" t="s">
        <v>224</v>
      </c>
      <c r="C10" s="21">
        <v>5000</v>
      </c>
      <c r="D10" s="22" t="s">
        <v>221</v>
      </c>
      <c r="F10" s="9" t="s">
        <v>88</v>
      </c>
      <c r="G10" s="9"/>
      <c r="H10" s="9"/>
      <c r="AA10">
        <f>C10*10000</f>
        <v>50000000</v>
      </c>
    </row>
    <row r="11" spans="2:27" ht="9.75" customHeight="1">
      <c r="AA11">
        <f>IF(AA6="개인사업자",VLOOKUP(AA7,_기준표!$E$2:$F$8,2,TRUE()),VLOOKUP(AA7*0.9,_기준표!$H$2:$I$4,2,TRUE()))</f>
        <v>0.41799999999999998</v>
      </c>
    </row>
    <row r="12" spans="2:27" ht="25.5" customHeight="1">
      <c r="B12" s="8" t="str">
        <f>"  📐  산출 근거:  ① 전환절감 "&amp;TEXT(G6,"#,##0")&amp;"만원"&amp;"  +  ② 법인세 "&amp;TEXT(G7,"#,##0")&amp;"만원"&amp;"  +  ③ 복지기금 "&amp;TEXT(G8,"#,##0")&amp;"만원"&amp;"  =  병원 총 절감 "&amp;TEXT(G6+G7+G8,"#,##0")&amp;"만원/년"</f>
        <v xml:space="preserve">  📐  산출 근거:  ① 전환절감 4,482만원  +  ② 법인세 1,873만원  +  ③ 복지기금 1,500만원  =  병원 총 절감 7,855만원/년</v>
      </c>
      <c r="C12" s="8"/>
      <c r="D12" s="8"/>
      <c r="E12" s="8"/>
      <c r="F12" s="8"/>
      <c r="G12" s="8"/>
      <c r="H12" s="8"/>
      <c r="AA12">
        <v>0.3</v>
      </c>
    </row>
    <row r="13" spans="2:27" ht="7.5" customHeight="1"/>
    <row r="14" spans="2:27" ht="45.75" customHeight="1">
      <c r="B14" s="7" t="s">
        <v>111</v>
      </c>
      <c r="C14" s="7"/>
      <c r="D14" s="7"/>
      <c r="E14" s="7"/>
      <c r="F14" s="6">
        <f>G6+G7+G8</f>
        <v>7855</v>
      </c>
      <c r="G14" s="6"/>
      <c r="H14" s="27" t="s">
        <v>221</v>
      </c>
    </row>
    <row r="15" spans="2:27" ht="27.75" customHeight="1">
      <c r="B15" s="5" t="s">
        <v>211</v>
      </c>
      <c r="C15" s="5"/>
      <c r="D15" s="5"/>
      <c r="E15" s="5"/>
      <c r="F15" s="4">
        <f>(G6+G7+G8)*10</f>
        <v>78550</v>
      </c>
      <c r="G15" s="4"/>
      <c r="H15" s="28" t="s">
        <v>20</v>
      </c>
    </row>
    <row r="16" spans="2:27" ht="12" customHeight="1"/>
    <row r="17" spans="2:8" ht="24" customHeight="1">
      <c r="B17" s="3" t="s">
        <v>0</v>
      </c>
      <c r="C17" s="3"/>
      <c r="D17" s="3"/>
      <c r="E17" s="3"/>
      <c r="F17" s="3"/>
      <c r="G17" s="3"/>
      <c r="H17" s="3"/>
    </row>
    <row r="18" spans="2:8" ht="21.75" customHeight="1">
      <c r="B18" s="29" t="s">
        <v>14</v>
      </c>
      <c r="C18" s="30" t="s">
        <v>10</v>
      </c>
      <c r="D18" s="30" t="s">
        <v>25</v>
      </c>
      <c r="E18" s="30" t="s">
        <v>21</v>
      </c>
      <c r="F18" s="29"/>
      <c r="G18" s="31" t="s">
        <v>236</v>
      </c>
      <c r="H18" s="32" t="s">
        <v>239</v>
      </c>
    </row>
    <row r="19" spans="2:8" ht="21.75" customHeight="1">
      <c r="B19" s="33" t="s">
        <v>204</v>
      </c>
      <c r="C19" s="34">
        <f>G6</f>
        <v>4482</v>
      </c>
      <c r="D19" s="34">
        <f>G6*2</f>
        <v>8964</v>
      </c>
      <c r="E19" s="34">
        <f>G6*3</f>
        <v>13446</v>
      </c>
      <c r="F19" s="33"/>
      <c r="G19" s="35">
        <f>G6*3</f>
        <v>13446</v>
      </c>
      <c r="H19" s="36">
        <f>G6*10</f>
        <v>44820</v>
      </c>
    </row>
    <row r="20" spans="2:8" ht="21.75" customHeight="1">
      <c r="B20" s="37" t="s">
        <v>120</v>
      </c>
      <c r="C20" s="38">
        <f>G7</f>
        <v>1873</v>
      </c>
      <c r="D20" s="38">
        <f>G7*2</f>
        <v>3746</v>
      </c>
      <c r="E20" s="38">
        <f>G7*3</f>
        <v>5619</v>
      </c>
      <c r="F20" s="37"/>
      <c r="G20" s="35">
        <f>G7*3</f>
        <v>5619</v>
      </c>
      <c r="H20" s="36">
        <f>G7*10</f>
        <v>18730</v>
      </c>
    </row>
    <row r="21" spans="2:8" ht="21.75" customHeight="1">
      <c r="B21" s="33" t="s">
        <v>118</v>
      </c>
      <c r="C21" s="34">
        <f>G8</f>
        <v>1500</v>
      </c>
      <c r="D21" s="34">
        <f>G8*2</f>
        <v>3000</v>
      </c>
      <c r="E21" s="34">
        <f>G8*3</f>
        <v>4500</v>
      </c>
      <c r="F21" s="33"/>
      <c r="G21" s="35">
        <f>G8*3</f>
        <v>4500</v>
      </c>
      <c r="H21" s="36">
        <f>G8*10</f>
        <v>15000</v>
      </c>
    </row>
    <row r="22" spans="2:8" ht="21.75" customHeight="1">
      <c r="B22" s="39" t="s">
        <v>121</v>
      </c>
      <c r="C22" s="40">
        <f>G6+G7+G8</f>
        <v>7855</v>
      </c>
      <c r="D22" s="40">
        <f>(G6+G7+G8)*2</f>
        <v>15710</v>
      </c>
      <c r="E22" s="40">
        <f>(G6+G7+G8)*3</f>
        <v>23565</v>
      </c>
      <c r="F22" s="41"/>
      <c r="G22" s="42">
        <f>(G6+G7+G8)*3</f>
        <v>23565</v>
      </c>
      <c r="H22" s="43">
        <f>(G6+G7+G8)*10</f>
        <v>78550</v>
      </c>
    </row>
    <row r="23" spans="2:8" ht="18" customHeight="1">
      <c r="B23" s="2" t="s">
        <v>84</v>
      </c>
      <c r="C23" s="2"/>
      <c r="D23" s="2"/>
      <c r="E23" s="2"/>
      <c r="F23" s="2"/>
      <c r="G23" s="2"/>
      <c r="H23" s="2"/>
    </row>
    <row r="24" spans="2:8" ht="12" customHeight="1"/>
    <row r="25" spans="2:8" ht="24" customHeight="1">
      <c r="B25" s="1" t="s">
        <v>1</v>
      </c>
      <c r="C25" s="1"/>
      <c r="D25" s="1"/>
      <c r="E25" s="1"/>
      <c r="F25" s="1"/>
      <c r="G25" s="1"/>
      <c r="H25" s="1"/>
    </row>
    <row r="26" spans="2:8" ht="21.75" customHeight="1">
      <c r="B26" s="29" t="s">
        <v>14</v>
      </c>
      <c r="C26" s="29"/>
      <c r="D26" s="29"/>
      <c r="E26" s="29"/>
      <c r="F26" s="29"/>
      <c r="G26" s="29" t="s">
        <v>7</v>
      </c>
      <c r="H26" s="29" t="s">
        <v>8</v>
      </c>
    </row>
    <row r="27" spans="2:8" ht="21.75" customHeight="1">
      <c r="B27" s="165" t="s">
        <v>225</v>
      </c>
      <c r="C27" s="166"/>
      <c r="D27" s="166"/>
      <c r="E27" s="166"/>
      <c r="F27" s="167"/>
      <c r="G27" s="44">
        <f>C10</f>
        <v>5000</v>
      </c>
      <c r="H27" s="45" t="s">
        <v>123</v>
      </c>
    </row>
    <row r="28" spans="2:8" ht="21.75" customHeight="1">
      <c r="B28" s="168" t="s">
        <v>257</v>
      </c>
      <c r="C28" s="169"/>
      <c r="D28" s="169"/>
      <c r="E28" s="169"/>
      <c r="F28" s="170"/>
      <c r="G28" s="46">
        <f>ROUND(AA10*AA12/10000,0)</f>
        <v>1500</v>
      </c>
      <c r="H28" s="20" t="s">
        <v>38</v>
      </c>
    </row>
    <row r="29" spans="2:8" ht="21.75" customHeight="1">
      <c r="B29" s="171" t="s">
        <v>232</v>
      </c>
      <c r="C29" s="172"/>
      <c r="D29" s="172"/>
      <c r="E29" s="172"/>
      <c r="F29" s="173"/>
      <c r="G29" s="44">
        <f>ROUND(C10-G28,0)</f>
        <v>3500</v>
      </c>
      <c r="H29" s="45" t="s">
        <v>208</v>
      </c>
    </row>
    <row r="30" spans="2:8" ht="21.75" customHeight="1">
      <c r="B30" s="174" t="s">
        <v>238</v>
      </c>
      <c r="C30" s="175"/>
      <c r="D30" s="175"/>
      <c r="E30" s="175"/>
      <c r="F30" s="176"/>
      <c r="G30" s="47">
        <f>ROUND(C10*0.8,0)</f>
        <v>4000</v>
      </c>
      <c r="H30" s="22" t="s">
        <v>205</v>
      </c>
    </row>
    <row r="31" spans="2:8" ht="27.75" customHeight="1">
      <c r="B31" s="115" t="str">
        <f>"  ✅  "&amp;TEXT(C10,"#,##0")&amp;"만원 출연 → 절세 "&amp;TEXT(G28,"#,##0")&amp;"만 + 직원복지 "&amp;TEXT(ROUND(C10*0.8,0),"#,##0")&amp;"만 = 실질 총편익 "&amp;TEXT(G28+ROUND(C10*0.8,0),"#,##0")&amp;"만원"</f>
        <v xml:space="preserve">  ✅  5,000만원 출연 → 절세 1,500만 + 직원복지 4,000만 = 실질 총편익 5,500만원</v>
      </c>
      <c r="C31" s="115"/>
      <c r="D31" s="115"/>
      <c r="E31" s="115"/>
      <c r="F31" s="115"/>
      <c r="G31" s="115"/>
      <c r="H31" s="115"/>
    </row>
    <row r="32" spans="2:8" ht="18" customHeight="1">
      <c r="B32" s="2" t="s">
        <v>98</v>
      </c>
      <c r="C32" s="2"/>
      <c r="D32" s="2"/>
      <c r="E32" s="2"/>
      <c r="F32" s="2"/>
      <c r="G32" s="2"/>
      <c r="H32" s="2"/>
    </row>
    <row r="33" spans="2:8" ht="12" customHeight="1"/>
    <row r="34" spans="2:8" ht="21.75" customHeight="1">
      <c r="B34" s="116" t="s">
        <v>116</v>
      </c>
      <c r="C34" s="116"/>
      <c r="D34" s="116"/>
      <c r="E34" s="116"/>
      <c r="F34" s="116"/>
      <c r="G34" s="116"/>
      <c r="H34" s="116"/>
    </row>
    <row r="35" spans="2:8" ht="19.5" customHeight="1">
      <c r="B35" s="29" t="s">
        <v>14</v>
      </c>
      <c r="C35" s="30" t="s">
        <v>231</v>
      </c>
      <c r="D35" s="30" t="s">
        <v>241</v>
      </c>
      <c r="E35" s="29"/>
      <c r="F35" s="29" t="s">
        <v>246</v>
      </c>
      <c r="G35" s="29"/>
      <c r="H35" s="29" t="s">
        <v>15</v>
      </c>
    </row>
    <row r="36" spans="2:8" ht="21.75" customHeight="1">
      <c r="B36" s="48" t="s">
        <v>209</v>
      </c>
      <c r="C36" s="49">
        <f>ROUND((AA9*VLOOKUP(AA9,_기준표!$A$2:$C$7,2,TRUE()))/10000,0)</f>
        <v>2375</v>
      </c>
      <c r="D36" s="49">
        <f>ROUND((AA9*VLOOKUP(AA9,_기준표!$A$2:$C$7,2,TRUE()))*12/10000,0)</f>
        <v>28494</v>
      </c>
      <c r="E36" s="33"/>
      <c r="F36" s="49">
        <f>ROUND((AA9*VLOOKUP(AA9,_기준표!$A$2:$C$7,2,TRUE()))*12*AA8/10000,0)</f>
        <v>85482</v>
      </c>
      <c r="G36" s="33"/>
      <c r="H36" s="50" t="s">
        <v>108</v>
      </c>
    </row>
    <row r="37" spans="2:8" ht="21.75" customHeight="1">
      <c r="B37" s="51" t="s">
        <v>210</v>
      </c>
      <c r="C37" s="52">
        <f>ROUND((AA9*VLOOKUP(AA9,_기준표!$A$2:$C$7,3,TRUE()))/10000,0)</f>
        <v>2250</v>
      </c>
      <c r="D37" s="52">
        <f>ROUND((AA9*VLOOKUP(AA9,_기준표!$A$2:$C$7,3,TRUE()))*12/10000,0)</f>
        <v>27000</v>
      </c>
      <c r="E37" s="37"/>
      <c r="F37" s="52">
        <f>ROUND((AA9*VLOOKUP(AA9,_기준표!$A$2:$C$7,3,TRUE()))*12*AA8/10000,0)</f>
        <v>81000</v>
      </c>
      <c r="G37" s="37"/>
      <c r="H37" s="53" t="s">
        <v>122</v>
      </c>
    </row>
    <row r="38" spans="2:8" ht="21.75" customHeight="1">
      <c r="B38" s="54" t="s">
        <v>55</v>
      </c>
      <c r="C38" s="55">
        <f>ROUND((AA9*VLOOKUP(AA9,_기준표!$A$2:$C$7,2,TRUE())-AA9*VLOOKUP(AA9,_기준표!$A$2:$C$7,3,TRUE()))/10000,0)</f>
        <v>125</v>
      </c>
      <c r="D38" s="55">
        <f>ROUND((AA9*VLOOKUP(AA9,_기준표!$A$2:$C$7,2,TRUE())-AA9*VLOOKUP(AA9,_기준표!$A$2:$C$7,3,TRUE()))*12/10000,0)</f>
        <v>1494</v>
      </c>
      <c r="E38" s="56"/>
      <c r="F38" s="55">
        <f>ROUND((AA9*VLOOKUP(AA9,_기준표!$A$2:$C$7,2,TRUE())-AA9*VLOOKUP(AA9,_기준표!$A$2:$C$7,3,TRUE()))*12*AA8/10000,0)</f>
        <v>4482</v>
      </c>
      <c r="G38" s="56"/>
      <c r="H38" s="57" t="s">
        <v>56</v>
      </c>
    </row>
    <row r="39" spans="2:8" ht="21.75" customHeight="1">
      <c r="B39" s="54" t="s">
        <v>207</v>
      </c>
      <c r="C39" s="55">
        <f>ROUND((AA9*VLOOKUP(AA9,_기준표!$A$2:$C$7,2,TRUE())-AA9*VLOOKUP(AA9,_기준표!$A$2:$C$7,3,TRUE()))*AA11/10000,0)</f>
        <v>52</v>
      </c>
      <c r="D39" s="55">
        <f>ROUND((AA9*VLOOKUP(AA9,_기준표!$A$2:$C$7,2,TRUE())-AA9*VLOOKUP(AA9,_기준표!$A$2:$C$7,3,TRUE()))*AA11*12/10000,0)</f>
        <v>624</v>
      </c>
      <c r="E39" s="56"/>
      <c r="F39" s="55">
        <f>ROUND((AA9*VLOOKUP(AA9,_기준표!$A$2:$C$7,2,TRUE())-AA9*VLOOKUP(AA9,_기준표!$A$2:$C$7,3,TRUE()))*AA11*12*AA8/10000,0)</f>
        <v>1873</v>
      </c>
      <c r="G39" s="56"/>
      <c r="H39" s="57" t="s">
        <v>124</v>
      </c>
    </row>
    <row r="40" spans="2:8" ht="18" customHeight="1">
      <c r="B40" s="117" t="s">
        <v>100</v>
      </c>
      <c r="C40" s="117"/>
      <c r="D40" s="117"/>
      <c r="E40" s="117"/>
      <c r="F40" s="117"/>
      <c r="G40" s="117"/>
      <c r="H40" s="117"/>
    </row>
    <row r="41" spans="2:8" ht="13.5" customHeight="1"/>
    <row r="42" spans="2:8" ht="9.75" customHeight="1">
      <c r="B42" s="118"/>
      <c r="C42" s="118"/>
      <c r="D42" s="118"/>
      <c r="E42" s="118"/>
      <c r="F42" s="118"/>
      <c r="G42" s="118"/>
      <c r="H42" s="118"/>
    </row>
    <row r="43" spans="2:8" ht="24" customHeight="1">
      <c r="B43" s="3" t="s">
        <v>73</v>
      </c>
      <c r="C43" s="3"/>
      <c r="D43" s="3"/>
      <c r="E43" s="3"/>
      <c r="F43" s="3"/>
      <c r="G43" s="3"/>
      <c r="H43" s="3"/>
    </row>
    <row r="44" spans="2:8" ht="19.5" customHeight="1">
      <c r="B44" s="119" t="s">
        <v>194</v>
      </c>
      <c r="C44" s="119"/>
      <c r="D44" s="119"/>
      <c r="E44" s="119"/>
      <c r="F44" s="119"/>
      <c r="G44" s="119"/>
      <c r="H44" s="119"/>
    </row>
    <row r="45" spans="2:8" ht="21.75" customHeight="1">
      <c r="B45" s="29" t="s">
        <v>18</v>
      </c>
      <c r="C45" s="29" t="s">
        <v>219</v>
      </c>
      <c r="D45" s="30"/>
      <c r="E45" s="30"/>
      <c r="F45" s="29" t="s">
        <v>16</v>
      </c>
      <c r="G45" s="30"/>
      <c r="H45" s="29" t="s">
        <v>15</v>
      </c>
    </row>
    <row r="46" spans="2:8" ht="30" customHeight="1">
      <c r="B46" s="33" t="s">
        <v>234</v>
      </c>
      <c r="C46" s="120" t="s">
        <v>37</v>
      </c>
      <c r="D46" s="120"/>
      <c r="E46" s="120"/>
      <c r="F46" s="120" t="s">
        <v>212</v>
      </c>
      <c r="G46" s="120"/>
      <c r="H46" s="58" t="s">
        <v>110</v>
      </c>
    </row>
    <row r="47" spans="2:8" ht="30" customHeight="1">
      <c r="B47" s="59" t="s">
        <v>54</v>
      </c>
      <c r="C47" s="121" t="s">
        <v>251</v>
      </c>
      <c r="D47" s="121"/>
      <c r="E47" s="121"/>
      <c r="F47" s="122" t="s">
        <v>242</v>
      </c>
      <c r="G47" s="122"/>
      <c r="H47" s="60" t="s">
        <v>40</v>
      </c>
    </row>
    <row r="48" spans="2:8" ht="30" customHeight="1">
      <c r="B48" s="33" t="s">
        <v>109</v>
      </c>
      <c r="C48" s="120" t="str">
        <f>" 연 "&amp;TEXT(G7,"#,##0")&amp;"만원 (개인 세율)"</f>
        <v xml:space="preserve"> 연 1,873만원 (개인 세율)</v>
      </c>
      <c r="D48" s="120"/>
      <c r="E48" s="120"/>
      <c r="F48" s="120" t="s">
        <v>57</v>
      </c>
      <c r="G48" s="120"/>
      <c r="H48" s="58" t="s">
        <v>48</v>
      </c>
    </row>
    <row r="49" spans="2:8" ht="30" customHeight="1">
      <c r="B49" s="37" t="s">
        <v>125</v>
      </c>
      <c r="C49" s="123" t="s">
        <v>24</v>
      </c>
      <c r="D49" s="123"/>
      <c r="E49" s="123"/>
      <c r="F49" s="124" t="s">
        <v>50</v>
      </c>
      <c r="G49" s="124"/>
      <c r="H49" s="61" t="s">
        <v>126</v>
      </c>
    </row>
    <row r="50" spans="2:8" ht="25.5" customHeight="1">
      <c r="B50" s="125" t="s">
        <v>92</v>
      </c>
      <c r="C50" s="125"/>
      <c r="D50" s="125"/>
      <c r="E50" s="125"/>
      <c r="F50" s="125"/>
      <c r="G50" s="125"/>
      <c r="H50" s="125"/>
    </row>
    <row r="51" spans="2:8" ht="9.75" customHeight="1"/>
    <row r="52" spans="2:8" ht="18" customHeight="1">
      <c r="B52" s="163" t="s">
        <v>74</v>
      </c>
      <c r="C52" s="164"/>
      <c r="D52" s="164"/>
      <c r="E52" s="164"/>
      <c r="F52" s="164"/>
      <c r="G52" s="164"/>
      <c r="H52" s="164"/>
    </row>
    <row r="53" spans="2:8" ht="18" customHeight="1">
      <c r="B53" s="62" t="s">
        <v>82</v>
      </c>
      <c r="C53" s="63"/>
      <c r="D53" s="63"/>
      <c r="E53" s="63"/>
      <c r="F53" s="63"/>
      <c r="G53" s="63"/>
      <c r="H53" s="63"/>
    </row>
    <row r="54" spans="2:8" ht="18" customHeight="1"/>
    <row r="55" spans="2:8" ht="18" customHeight="1"/>
    <row r="56" spans="2:8" ht="18" customHeight="1"/>
    <row r="57" spans="2:8" ht="18" customHeight="1"/>
    <row r="58" spans="2:8" ht="18" customHeight="1"/>
    <row r="59" spans="2:8" ht="18" customHeight="1"/>
    <row r="60" spans="2:8" ht="18" customHeight="1"/>
    <row r="61" spans="2:8" ht="18" customHeight="1"/>
    <row r="62" spans="2:8" ht="18" customHeight="1"/>
    <row r="63" spans="2:8" ht="18" customHeight="1"/>
    <row r="64" spans="2:8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</sheetData>
  <mergeCells count="35">
    <mergeCell ref="B50:H50"/>
    <mergeCell ref="B52:H52"/>
    <mergeCell ref="B27:F27"/>
    <mergeCell ref="B28:F28"/>
    <mergeCell ref="B29:F29"/>
    <mergeCell ref="B30:F30"/>
    <mergeCell ref="C47:E47"/>
    <mergeCell ref="F47:G47"/>
    <mergeCell ref="C48:E48"/>
    <mergeCell ref="F48:G48"/>
    <mergeCell ref="C49:E49"/>
    <mergeCell ref="F49:G49"/>
    <mergeCell ref="B40:H40"/>
    <mergeCell ref="B42:H42"/>
    <mergeCell ref="B43:H43"/>
    <mergeCell ref="B44:H44"/>
    <mergeCell ref="C46:E46"/>
    <mergeCell ref="F46:G46"/>
    <mergeCell ref="B31:H31"/>
    <mergeCell ref="B32:H32"/>
    <mergeCell ref="B34:H34"/>
    <mergeCell ref="B17:H17"/>
    <mergeCell ref="B23:H23"/>
    <mergeCell ref="B25:H25"/>
    <mergeCell ref="F10:H10"/>
    <mergeCell ref="B12:H12"/>
    <mergeCell ref="B14:E14"/>
    <mergeCell ref="F14:G14"/>
    <mergeCell ref="B15:E15"/>
    <mergeCell ref="F15:G15"/>
    <mergeCell ref="B1:H1"/>
    <mergeCell ref="B2:H2"/>
    <mergeCell ref="B3:H3"/>
    <mergeCell ref="B5:D5"/>
    <mergeCell ref="F5:H5"/>
  </mergeCells>
  <phoneticPr fontId="62" type="noConversion"/>
  <dataValidations count="1">
    <dataValidation type="list" prompt="개인사업자 또는 법인을 선택하세요" sqref="C6" xr:uid="{00000000-0002-0000-0000-000000000000}">
      <formula1>"개인사업자,법인"</formula1>
    </dataValidation>
  </dataValidations>
  <pageMargins left="0.75" right="0.75" top="1" bottom="1" header="0.51180553436279297" footer="0.5118055343627929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F54"/>
  <sheetViews>
    <sheetView showGridLines="0" zoomScaleNormal="100" zoomScaleSheetLayoutView="75" workbookViewId="0"/>
  </sheetViews>
  <sheetFormatPr defaultColWidth="8.7109375" defaultRowHeight="15"/>
  <cols>
    <col min="1" max="1" width="2" customWidth="1"/>
    <col min="2" max="2" width="26" customWidth="1"/>
    <col min="3" max="3" width="20.140625" customWidth="1"/>
    <col min="4" max="4" width="24.42578125" customWidth="1"/>
    <col min="5" max="5" width="21.42578125" customWidth="1"/>
    <col min="6" max="6" width="23.7109375" customWidth="1"/>
    <col min="7" max="7" width="2" customWidth="1"/>
  </cols>
  <sheetData>
    <row r="1" spans="2:6" ht="18" customHeight="1"/>
    <row r="2" spans="2:6" ht="24" customHeight="1">
      <c r="B2" s="126" t="s">
        <v>69</v>
      </c>
      <c r="C2" s="126"/>
      <c r="D2" s="126"/>
      <c r="E2" s="126"/>
      <c r="F2" s="126"/>
    </row>
    <row r="3" spans="2:6" ht="24" customHeight="1">
      <c r="B3" s="127" t="s">
        <v>2</v>
      </c>
      <c r="C3" s="127"/>
      <c r="D3" s="127"/>
      <c r="E3" s="127"/>
      <c r="F3" s="127"/>
    </row>
    <row r="4" spans="2:6" ht="7.5" customHeight="1"/>
    <row r="5" spans="2:6" ht="24" customHeight="1">
      <c r="B5" s="12" t="s">
        <v>214</v>
      </c>
      <c r="C5" s="12"/>
      <c r="D5" s="12"/>
      <c r="E5" s="12"/>
      <c r="F5" s="12"/>
    </row>
    <row r="6" spans="2:6" ht="21.75" customHeight="1">
      <c r="B6" s="15" t="s">
        <v>220</v>
      </c>
      <c r="C6" s="128" t="str">
        <f>'🏥 맞춤 시뮬레이터'!C6</f>
        <v>개인사업자</v>
      </c>
      <c r="D6" s="128"/>
      <c r="E6" s="128"/>
      <c r="F6" s="128"/>
    </row>
    <row r="7" spans="2:6" ht="21.75" customHeight="1">
      <c r="B7" s="15" t="s">
        <v>222</v>
      </c>
      <c r="C7" s="128" t="str">
        <f>TEXT('🏥 맞춤 시뮬레이터'!C7,"#,##0")&amp;"만원  ("&amp;TEXT(INT('🏥 맞춤 시뮬레이터'!C7/10000),"#,##0")&amp;"억원)"</f>
        <v>30,000만원  (3억원)</v>
      </c>
      <c r="D7" s="128"/>
      <c r="E7" s="128"/>
      <c r="F7" s="128"/>
    </row>
    <row r="8" spans="2:6" ht="21.75" customHeight="1">
      <c r="B8" s="15" t="s">
        <v>256</v>
      </c>
      <c r="C8" s="128" t="str">
        <f>'🏥 맞춤 시뮬레이터'!C8&amp;"명"</f>
        <v>3명</v>
      </c>
      <c r="D8" s="128"/>
      <c r="E8" s="128"/>
      <c r="F8" s="128"/>
    </row>
    <row r="9" spans="2:6" ht="21.75" customHeight="1">
      <c r="B9" s="15" t="s">
        <v>245</v>
      </c>
      <c r="C9" s="128" t="str">
        <f>TEXT('🏥 맞춤 시뮬레이터'!C9,"#,##0")&amp;"만원"</f>
        <v>1,500만원</v>
      </c>
      <c r="D9" s="128"/>
      <c r="E9" s="128"/>
      <c r="F9" s="128"/>
    </row>
    <row r="10" spans="2:6" ht="21.75" customHeight="1">
      <c r="B10" s="15" t="s">
        <v>254</v>
      </c>
      <c r="C10" s="128" t="str">
        <f>TEXT('🏥 맞춤 시뮬레이터'!C10,"#,##0")&amp;"만원/년"</f>
        <v>5,000만원/년</v>
      </c>
      <c r="D10" s="128"/>
      <c r="E10" s="128"/>
      <c r="F10" s="128"/>
    </row>
    <row r="11" spans="2:6" ht="9.75" customHeight="1"/>
    <row r="12" spans="2:6" ht="24" customHeight="1">
      <c r="B12" s="129" t="s">
        <v>3</v>
      </c>
      <c r="C12" s="129"/>
      <c r="D12" s="129"/>
      <c r="E12" s="129"/>
      <c r="F12" s="129"/>
    </row>
    <row r="13" spans="2:6" ht="21.75" customHeight="1">
      <c r="B13" s="29" t="s">
        <v>18</v>
      </c>
      <c r="C13" s="30" t="s">
        <v>127</v>
      </c>
      <c r="D13" s="30" t="s">
        <v>128</v>
      </c>
      <c r="E13" s="29" t="s">
        <v>252</v>
      </c>
    </row>
    <row r="14" spans="2:6" ht="33.75" customHeight="1">
      <c r="B14" s="64" t="s">
        <v>235</v>
      </c>
      <c r="C14" s="65" t="s">
        <v>89</v>
      </c>
      <c r="D14" s="66" t="s">
        <v>213</v>
      </c>
      <c r="E14" s="64" t="s">
        <v>47</v>
      </c>
    </row>
    <row r="15" spans="2:6" ht="33.75" customHeight="1">
      <c r="B15" s="67" t="s">
        <v>229</v>
      </c>
      <c r="C15" s="68" t="s">
        <v>39</v>
      </c>
      <c r="D15" s="66" t="s">
        <v>90</v>
      </c>
      <c r="E15" s="67" t="s">
        <v>233</v>
      </c>
    </row>
    <row r="16" spans="2:6" ht="33.75" customHeight="1">
      <c r="B16" s="64" t="s">
        <v>237</v>
      </c>
      <c r="C16" s="64" t="s">
        <v>134</v>
      </c>
      <c r="D16" s="66" t="s">
        <v>133</v>
      </c>
      <c r="E16" s="64" t="s">
        <v>44</v>
      </c>
    </row>
    <row r="17" spans="2:6" ht="33.75" customHeight="1">
      <c r="B17" s="67" t="s">
        <v>255</v>
      </c>
      <c r="C17" s="67" t="s">
        <v>138</v>
      </c>
      <c r="D17" s="66" t="s">
        <v>43</v>
      </c>
      <c r="E17" s="67" t="s">
        <v>135</v>
      </c>
    </row>
    <row r="18" spans="2:6" ht="33.75" customHeight="1">
      <c r="B18" s="64" t="s">
        <v>240</v>
      </c>
      <c r="C18" s="64" t="s">
        <v>136</v>
      </c>
      <c r="D18" s="66" t="s">
        <v>53</v>
      </c>
      <c r="E18" s="64" t="s">
        <v>137</v>
      </c>
    </row>
    <row r="19" spans="2:6" ht="18" customHeight="1"/>
    <row r="20" spans="2:6" ht="9.75" customHeight="1"/>
    <row r="21" spans="2:6" ht="24" customHeight="1">
      <c r="B21" s="10" t="s">
        <v>94</v>
      </c>
      <c r="C21" s="10"/>
      <c r="D21" s="10"/>
      <c r="E21" s="10"/>
      <c r="F21" s="10"/>
    </row>
    <row r="22" spans="2:6" ht="21.75" customHeight="1">
      <c r="B22" s="29" t="s">
        <v>247</v>
      </c>
      <c r="C22" s="29" t="s">
        <v>132</v>
      </c>
      <c r="D22" s="29" t="s">
        <v>129</v>
      </c>
      <c r="E22" s="29" t="s">
        <v>130</v>
      </c>
      <c r="F22" s="29" t="s">
        <v>131</v>
      </c>
    </row>
    <row r="23" spans="2:6" ht="21.75" customHeight="1">
      <c r="B23" s="69">
        <v>3000</v>
      </c>
      <c r="C23" s="55">
        <v>900</v>
      </c>
      <c r="D23" s="49">
        <v>2100</v>
      </c>
      <c r="E23" s="49">
        <v>2400</v>
      </c>
      <c r="F23" s="70">
        <v>3300</v>
      </c>
    </row>
    <row r="24" spans="2:6" ht="21.75" customHeight="1">
      <c r="B24" s="69">
        <v>5000</v>
      </c>
      <c r="C24" s="55">
        <v>1500</v>
      </c>
      <c r="D24" s="52">
        <v>3500</v>
      </c>
      <c r="E24" s="52">
        <v>4000</v>
      </c>
      <c r="F24" s="70">
        <v>5500</v>
      </c>
    </row>
    <row r="25" spans="2:6" ht="21.75" customHeight="1">
      <c r="B25" s="69">
        <v>10000</v>
      </c>
      <c r="C25" s="55">
        <v>3000</v>
      </c>
      <c r="D25" s="49">
        <v>7000</v>
      </c>
      <c r="E25" s="49">
        <v>8000</v>
      </c>
      <c r="F25" s="70">
        <v>11000</v>
      </c>
    </row>
    <row r="26" spans="2:6" ht="21.75" customHeight="1">
      <c r="B26" s="69">
        <v>20000</v>
      </c>
      <c r="C26" s="55">
        <v>6000</v>
      </c>
      <c r="D26" s="52">
        <v>14000</v>
      </c>
      <c r="E26" s="52">
        <v>16000</v>
      </c>
      <c r="F26" s="70">
        <v>22000</v>
      </c>
    </row>
    <row r="27" spans="2:6" ht="21.75" customHeight="1">
      <c r="B27" s="69">
        <v>30000</v>
      </c>
      <c r="C27" s="55">
        <v>9000</v>
      </c>
      <c r="D27" s="49">
        <v>21000</v>
      </c>
      <c r="E27" s="49">
        <v>24000</v>
      </c>
      <c r="F27" s="70">
        <v>33000</v>
      </c>
    </row>
    <row r="28" spans="2:6" ht="21.75" customHeight="1">
      <c r="B28" s="69">
        <v>50000</v>
      </c>
      <c r="C28" s="55">
        <v>15000</v>
      </c>
      <c r="D28" s="52">
        <v>35000</v>
      </c>
      <c r="E28" s="52">
        <v>40000</v>
      </c>
      <c r="F28" s="70">
        <v>55000</v>
      </c>
    </row>
    <row r="29" spans="2:6" ht="18" customHeight="1"/>
    <row r="30" spans="2:6" ht="24" customHeight="1">
      <c r="B30" s="130" t="s">
        <v>193</v>
      </c>
      <c r="C30" s="130"/>
      <c r="D30" s="130"/>
      <c r="E30" s="130"/>
      <c r="F30" s="130"/>
    </row>
    <row r="31" spans="2:6" ht="12" customHeight="1"/>
    <row r="32" spans="2:6" ht="24" customHeight="1">
      <c r="B32" s="131" t="s">
        <v>99</v>
      </c>
      <c r="C32" s="131"/>
      <c r="D32" s="131"/>
      <c r="E32" s="131"/>
      <c r="F32" s="131"/>
    </row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</sheetData>
  <mergeCells count="12">
    <mergeCell ref="B30:F30"/>
    <mergeCell ref="B32:F32"/>
    <mergeCell ref="C8:F8"/>
    <mergeCell ref="C9:F9"/>
    <mergeCell ref="C10:F10"/>
    <mergeCell ref="B12:F12"/>
    <mergeCell ref="B21:F21"/>
    <mergeCell ref="B2:F2"/>
    <mergeCell ref="B3:F3"/>
    <mergeCell ref="B5:F5"/>
    <mergeCell ref="C6:F6"/>
    <mergeCell ref="C7:F7"/>
  </mergeCells>
  <phoneticPr fontId="62" type="noConversion"/>
  <pageMargins left="0.75" right="0.75" top="1" bottom="1" header="0.51180553436279297" footer="0.5118055343627929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F44"/>
  <sheetViews>
    <sheetView showGridLines="0" zoomScaleNormal="100" zoomScaleSheetLayoutView="75" workbookViewId="0"/>
  </sheetViews>
  <sheetFormatPr defaultColWidth="8.7109375" defaultRowHeight="15"/>
  <cols>
    <col min="1" max="1" width="2" customWidth="1"/>
    <col min="2" max="2" width="28" customWidth="1"/>
    <col min="3" max="5" width="16" customWidth="1"/>
    <col min="6" max="6" width="36.28515625" customWidth="1"/>
    <col min="7" max="7" width="2" customWidth="1"/>
  </cols>
  <sheetData>
    <row r="1" spans="2:6" ht="18" customHeight="1"/>
    <row r="2" spans="2:6" ht="24" customHeight="1">
      <c r="B2" s="132" t="s">
        <v>95</v>
      </c>
      <c r="C2" s="132"/>
      <c r="D2" s="132"/>
      <c r="E2" s="132"/>
      <c r="F2" s="132"/>
    </row>
    <row r="3" spans="2:6" ht="24" customHeight="1">
      <c r="B3" s="133" t="s">
        <v>75</v>
      </c>
      <c r="C3" s="133"/>
      <c r="D3" s="133"/>
      <c r="E3" s="133"/>
      <c r="F3" s="133"/>
    </row>
    <row r="4" spans="2:6" ht="7.5" customHeight="1"/>
    <row r="5" spans="2:6" ht="24" customHeight="1">
      <c r="B5" s="11" t="s">
        <v>113</v>
      </c>
      <c r="C5" s="11"/>
      <c r="D5" s="11"/>
      <c r="E5" s="11"/>
      <c r="F5" s="11"/>
    </row>
    <row r="6" spans="2:6" ht="21.75" customHeight="1">
      <c r="B6" s="29" t="s">
        <v>14</v>
      </c>
      <c r="C6" s="29" t="s">
        <v>253</v>
      </c>
      <c r="D6" s="29" t="s">
        <v>226</v>
      </c>
      <c r="E6" s="29" t="s">
        <v>15</v>
      </c>
      <c r="F6" s="29" t="s">
        <v>243</v>
      </c>
    </row>
    <row r="7" spans="2:6" ht="21.75" customHeight="1">
      <c r="B7" s="33" t="s">
        <v>17</v>
      </c>
      <c r="C7" s="71" t="s">
        <v>228</v>
      </c>
      <c r="D7" s="72" t="s">
        <v>250</v>
      </c>
      <c r="E7" s="73" t="s">
        <v>142</v>
      </c>
      <c r="F7" s="74" t="s">
        <v>139</v>
      </c>
    </row>
    <row r="8" spans="2:6" ht="21.75" customHeight="1">
      <c r="B8" s="37" t="s">
        <v>227</v>
      </c>
      <c r="C8" s="75" t="s">
        <v>228</v>
      </c>
      <c r="D8" s="76" t="s">
        <v>250</v>
      </c>
      <c r="E8" s="77" t="s">
        <v>143</v>
      </c>
      <c r="F8" s="78" t="s">
        <v>139</v>
      </c>
    </row>
    <row r="9" spans="2:6" ht="21.75" customHeight="1">
      <c r="B9" s="33" t="s">
        <v>244</v>
      </c>
      <c r="C9" s="71" t="s">
        <v>228</v>
      </c>
      <c r="D9" s="72" t="s">
        <v>250</v>
      </c>
      <c r="E9" s="73" t="s">
        <v>248</v>
      </c>
      <c r="F9" s="74" t="s">
        <v>139</v>
      </c>
    </row>
    <row r="10" spans="2:6" ht="21.75" customHeight="1">
      <c r="B10" s="37" t="s">
        <v>140</v>
      </c>
      <c r="C10" s="75" t="s">
        <v>228</v>
      </c>
      <c r="D10" s="76" t="s">
        <v>250</v>
      </c>
      <c r="E10" s="77" t="s">
        <v>249</v>
      </c>
      <c r="F10" s="78" t="s">
        <v>139</v>
      </c>
    </row>
    <row r="11" spans="2:6" ht="21.75" customHeight="1">
      <c r="B11" s="79" t="s">
        <v>6</v>
      </c>
      <c r="C11" s="80" t="s">
        <v>230</v>
      </c>
      <c r="D11" s="80" t="s">
        <v>282</v>
      </c>
      <c r="E11" s="81" t="s">
        <v>148</v>
      </c>
      <c r="F11" s="80"/>
    </row>
    <row r="12" spans="2:6" ht="18" customHeight="1"/>
    <row r="13" spans="2:6" ht="9.75" customHeight="1"/>
    <row r="14" spans="2:6" ht="24" customHeight="1">
      <c r="B14" s="1" t="s">
        <v>85</v>
      </c>
      <c r="C14" s="1"/>
      <c r="D14" s="1"/>
      <c r="E14" s="1"/>
      <c r="F14" s="1"/>
    </row>
    <row r="15" spans="2:6" ht="21.75" customHeight="1">
      <c r="B15" s="29" t="s">
        <v>5</v>
      </c>
      <c r="C15" s="29" t="s">
        <v>141</v>
      </c>
      <c r="D15" s="29" t="s">
        <v>144</v>
      </c>
      <c r="E15" s="29" t="s">
        <v>145</v>
      </c>
      <c r="F15" s="29" t="s">
        <v>15</v>
      </c>
    </row>
    <row r="16" spans="2:6" ht="21.75" customHeight="1">
      <c r="B16" s="33" t="s">
        <v>42</v>
      </c>
      <c r="C16" s="82">
        <v>148</v>
      </c>
      <c r="D16" s="82">
        <v>184</v>
      </c>
      <c r="E16" s="82">
        <v>270</v>
      </c>
      <c r="F16" s="74" t="s">
        <v>149</v>
      </c>
    </row>
    <row r="17" spans="2:6" ht="21.75" customHeight="1">
      <c r="B17" s="37" t="s">
        <v>151</v>
      </c>
      <c r="C17" s="83" t="s">
        <v>11</v>
      </c>
      <c r="D17" s="83">
        <v>300</v>
      </c>
      <c r="E17" s="83">
        <v>1155</v>
      </c>
      <c r="F17" s="78" t="s">
        <v>49</v>
      </c>
    </row>
    <row r="18" spans="2:6" ht="21.75" customHeight="1">
      <c r="B18" s="33" t="s">
        <v>147</v>
      </c>
      <c r="C18" s="82">
        <v>0</v>
      </c>
      <c r="D18" s="82">
        <v>100</v>
      </c>
      <c r="E18" s="82">
        <v>200</v>
      </c>
      <c r="F18" s="74" t="s">
        <v>150</v>
      </c>
    </row>
    <row r="19" spans="2:6" ht="21.75" customHeight="1">
      <c r="B19" s="37" t="s">
        <v>146</v>
      </c>
      <c r="C19" s="83">
        <v>67</v>
      </c>
      <c r="D19" s="83">
        <v>128</v>
      </c>
      <c r="E19" s="83">
        <v>190</v>
      </c>
      <c r="F19" s="78" t="s">
        <v>152</v>
      </c>
    </row>
    <row r="20" spans="2:6" ht="21.75" customHeight="1">
      <c r="B20" s="79" t="s">
        <v>6</v>
      </c>
      <c r="C20" s="84">
        <f>SUM(C16:C19)</f>
        <v>215</v>
      </c>
      <c r="D20" s="84">
        <f>SUM(D16:D19)</f>
        <v>712</v>
      </c>
      <c r="E20" s="84">
        <f>SUM(E16:E19)</f>
        <v>1815</v>
      </c>
      <c r="F20" s="80"/>
    </row>
    <row r="21" spans="2:6" ht="18" customHeight="1"/>
    <row r="22" spans="2:6" ht="24" customHeight="1">
      <c r="B22" s="130" t="s">
        <v>101</v>
      </c>
      <c r="C22" s="130"/>
      <c r="D22" s="130"/>
      <c r="E22" s="130"/>
      <c r="F22" s="130"/>
    </row>
    <row r="23" spans="2:6" ht="12" customHeight="1"/>
    <row r="24" spans="2:6" ht="24" customHeight="1">
      <c r="B24" s="12" t="s">
        <v>103</v>
      </c>
      <c r="C24" s="12"/>
      <c r="D24" s="12"/>
      <c r="E24" s="12"/>
      <c r="F24" s="12"/>
    </row>
    <row r="25" spans="2:6" ht="18" customHeight="1"/>
    <row r="26" spans="2:6" ht="18" customHeight="1"/>
    <row r="27" spans="2:6" ht="18" customHeight="1"/>
    <row r="28" spans="2:6" ht="18" customHeight="1"/>
    <row r="29" spans="2:6" ht="18" customHeight="1"/>
    <row r="30" spans="2:6" ht="18" customHeight="1"/>
    <row r="31" spans="2:6" ht="18" customHeight="1"/>
    <row r="32" spans="2:6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</sheetData>
  <mergeCells count="6">
    <mergeCell ref="B24:F24"/>
    <mergeCell ref="B2:F2"/>
    <mergeCell ref="B3:F3"/>
    <mergeCell ref="B5:F5"/>
    <mergeCell ref="B14:F14"/>
    <mergeCell ref="B22:F22"/>
  </mergeCells>
  <phoneticPr fontId="62" type="noConversion"/>
  <pageMargins left="0.75" right="0.75" top="1" bottom="1" header="0.51180553436279297" footer="0.5118055343627929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C79"/>
  <sheetViews>
    <sheetView showGridLines="0" zoomScaleNormal="100" zoomScaleSheetLayoutView="75" workbookViewId="0"/>
  </sheetViews>
  <sheetFormatPr defaultColWidth="8.7109375" defaultRowHeight="15"/>
  <cols>
    <col min="1" max="1" width="2" customWidth="1"/>
    <col min="2" max="2" width="14" customWidth="1"/>
    <col min="3" max="3" width="101.140625" customWidth="1"/>
    <col min="4" max="4" width="2" customWidth="1"/>
  </cols>
  <sheetData>
    <row r="1" spans="2:3" ht="18" customHeight="1"/>
    <row r="2" spans="2:3" ht="36" customHeight="1">
      <c r="B2" s="134" t="s">
        <v>59</v>
      </c>
      <c r="C2" s="134"/>
    </row>
    <row r="3" spans="2:3" ht="21.75" customHeight="1">
      <c r="B3" s="135" t="s">
        <v>102</v>
      </c>
      <c r="C3" s="135"/>
    </row>
    <row r="4" spans="2:3" ht="9.75" customHeight="1"/>
    <row r="5" spans="2:3" ht="24" customHeight="1">
      <c r="B5" s="136" t="s">
        <v>71</v>
      </c>
      <c r="C5" s="136"/>
    </row>
    <row r="6" spans="2:3" ht="37.5" customHeight="1">
      <c r="B6" s="15" t="s">
        <v>22</v>
      </c>
      <c r="C6" s="64" t="s">
        <v>86</v>
      </c>
    </row>
    <row r="7" spans="2:3" ht="51.75" customHeight="1">
      <c r="B7" s="85" t="s">
        <v>285</v>
      </c>
      <c r="C7" s="86" t="s">
        <v>41</v>
      </c>
    </row>
    <row r="8" spans="2:3" ht="37.5" customHeight="1">
      <c r="B8" s="15" t="s">
        <v>261</v>
      </c>
      <c r="C8" s="87" t="s">
        <v>97</v>
      </c>
    </row>
    <row r="9" spans="2:3" ht="9.75" customHeight="1"/>
    <row r="10" spans="2:3" ht="24" customHeight="1">
      <c r="B10" s="137" t="s">
        <v>117</v>
      </c>
      <c r="C10" s="137"/>
    </row>
    <row r="11" spans="2:3" ht="24" customHeight="1">
      <c r="B11" s="138" t="s">
        <v>26</v>
      </c>
      <c r="C11" s="138"/>
    </row>
    <row r="12" spans="2:3" ht="61.5" customHeight="1">
      <c r="B12" s="88" t="s">
        <v>153</v>
      </c>
      <c r="C12" s="89" t="s">
        <v>81</v>
      </c>
    </row>
    <row r="13" spans="2:3" ht="21.75" customHeight="1">
      <c r="B13" s="90" t="s">
        <v>154</v>
      </c>
      <c r="C13" s="54" t="s">
        <v>27</v>
      </c>
    </row>
    <row r="14" spans="2:3" ht="7.5" customHeight="1"/>
    <row r="15" spans="2:3" ht="24" customHeight="1">
      <c r="B15" s="138" t="s">
        <v>215</v>
      </c>
      <c r="C15" s="138"/>
    </row>
    <row r="16" spans="2:3" ht="61.5" customHeight="1">
      <c r="B16" s="88" t="s">
        <v>153</v>
      </c>
      <c r="C16" s="91" t="s">
        <v>77</v>
      </c>
    </row>
    <row r="17" spans="2:3" ht="21.75" customHeight="1">
      <c r="B17" s="90" t="s">
        <v>154</v>
      </c>
      <c r="C17" s="54" t="s">
        <v>155</v>
      </c>
    </row>
    <row r="18" spans="2:3" ht="7.5" customHeight="1"/>
    <row r="19" spans="2:3" ht="24" customHeight="1">
      <c r="B19" s="138" t="s">
        <v>61</v>
      </c>
      <c r="C19" s="138"/>
    </row>
    <row r="20" spans="2:3" ht="61.5" customHeight="1">
      <c r="B20" s="88" t="s">
        <v>153</v>
      </c>
      <c r="C20" s="89" t="s">
        <v>79</v>
      </c>
    </row>
    <row r="21" spans="2:3" ht="21.75" customHeight="1">
      <c r="B21" s="90" t="s">
        <v>154</v>
      </c>
      <c r="C21" s="54" t="s">
        <v>87</v>
      </c>
    </row>
    <row r="22" spans="2:3" ht="7.5" customHeight="1"/>
    <row r="23" spans="2:3" ht="24" customHeight="1">
      <c r="B23" s="138" t="s">
        <v>34</v>
      </c>
      <c r="C23" s="138"/>
    </row>
    <row r="24" spans="2:3" ht="61.5" customHeight="1">
      <c r="B24" s="88" t="s">
        <v>153</v>
      </c>
      <c r="C24" s="91" t="s">
        <v>91</v>
      </c>
    </row>
    <row r="25" spans="2:3" ht="21.75" customHeight="1">
      <c r="B25" s="90" t="s">
        <v>154</v>
      </c>
      <c r="C25" s="92" t="s">
        <v>195</v>
      </c>
    </row>
    <row r="26" spans="2:3" ht="7.5" customHeight="1"/>
    <row r="27" spans="2:3" ht="24" customHeight="1">
      <c r="B27" s="138" t="s">
        <v>198</v>
      </c>
      <c r="C27" s="138"/>
    </row>
    <row r="28" spans="2:3" ht="61.5" customHeight="1">
      <c r="B28" s="88" t="s">
        <v>153</v>
      </c>
      <c r="C28" s="89" t="s">
        <v>67</v>
      </c>
    </row>
    <row r="29" spans="2:3" ht="21.75" customHeight="1">
      <c r="B29" s="90" t="s">
        <v>154</v>
      </c>
      <c r="C29" s="54" t="s">
        <v>197</v>
      </c>
    </row>
    <row r="30" spans="2:3" ht="7.5" customHeight="1"/>
    <row r="31" spans="2:3" ht="9.75" customHeight="1"/>
    <row r="32" spans="2:3" ht="24" customHeight="1">
      <c r="B32" s="139" t="s">
        <v>62</v>
      </c>
      <c r="C32" s="139"/>
    </row>
    <row r="33" spans="2:3" ht="51.75" customHeight="1">
      <c r="B33" s="88" t="s">
        <v>262</v>
      </c>
      <c r="C33" s="93" t="s">
        <v>191</v>
      </c>
    </row>
    <row r="34" spans="2:3" ht="9.75" customHeight="1"/>
    <row r="35" spans="2:3" ht="24" customHeight="1">
      <c r="B35" s="140" t="s">
        <v>83</v>
      </c>
      <c r="C35" s="140"/>
    </row>
    <row r="36" spans="2:3" ht="18" customHeight="1"/>
    <row r="37" spans="2:3" ht="18" customHeight="1"/>
    <row r="38" spans="2:3" ht="18" customHeight="1"/>
    <row r="39" spans="2:3" ht="18" customHeight="1"/>
    <row r="40" spans="2:3" ht="18" customHeight="1"/>
    <row r="41" spans="2:3" ht="18" customHeight="1"/>
    <row r="42" spans="2:3" ht="18" customHeight="1"/>
    <row r="43" spans="2:3" ht="18" customHeight="1"/>
    <row r="44" spans="2:3" ht="18" customHeight="1"/>
    <row r="45" spans="2:3" ht="18" customHeight="1"/>
    <row r="46" spans="2:3" ht="18" customHeight="1"/>
    <row r="47" spans="2:3" ht="18" customHeight="1"/>
    <row r="48" spans="2:3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</sheetData>
  <mergeCells count="11">
    <mergeCell ref="B35:C35"/>
    <mergeCell ref="B15:C15"/>
    <mergeCell ref="B19:C19"/>
    <mergeCell ref="B23:C23"/>
    <mergeCell ref="B27:C27"/>
    <mergeCell ref="B32:C32"/>
    <mergeCell ref="B2:C2"/>
    <mergeCell ref="B3:C3"/>
    <mergeCell ref="B5:C5"/>
    <mergeCell ref="B10:C10"/>
    <mergeCell ref="B11:C11"/>
  </mergeCells>
  <phoneticPr fontId="62" type="noConversion"/>
  <pageMargins left="0.75" right="0.75" top="1" bottom="1" header="0.51180553436279297" footer="0.5118055343627929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F64"/>
  <sheetViews>
    <sheetView showGridLines="0" tabSelected="1" zoomScaleNormal="100" zoomScaleSheetLayoutView="75" workbookViewId="0"/>
  </sheetViews>
  <sheetFormatPr defaultColWidth="8.7109375" defaultRowHeight="15"/>
  <cols>
    <col min="1" max="1" width="2" customWidth="1"/>
    <col min="2" max="2" width="24" customWidth="1"/>
    <col min="3" max="6" width="18" customWidth="1"/>
    <col min="7" max="7" width="2" customWidth="1"/>
  </cols>
  <sheetData>
    <row r="1" spans="2:6" ht="18" customHeight="1"/>
    <row r="2" spans="2:6" ht="24" customHeight="1">
      <c r="B2" s="132" t="s">
        <v>115</v>
      </c>
      <c r="C2" s="132"/>
      <c r="D2" s="132"/>
      <c r="E2" s="132"/>
      <c r="F2" s="132"/>
    </row>
    <row r="3" spans="2:6" ht="7.5" customHeight="1"/>
    <row r="4" spans="2:6" ht="24" customHeight="1">
      <c r="B4" s="1" t="s">
        <v>157</v>
      </c>
      <c r="C4" s="1"/>
      <c r="D4" s="1"/>
      <c r="E4" s="1"/>
      <c r="F4" s="1"/>
    </row>
    <row r="5" spans="2:6" ht="21.75" customHeight="1">
      <c r="B5" s="15" t="s">
        <v>286</v>
      </c>
      <c r="C5" s="114" t="s">
        <v>216</v>
      </c>
      <c r="D5" s="114"/>
      <c r="E5" s="114"/>
      <c r="F5" s="114"/>
    </row>
    <row r="6" spans="2:6" ht="21.75" customHeight="1">
      <c r="B6" s="59" t="s">
        <v>273</v>
      </c>
      <c r="C6" s="141" t="s">
        <v>189</v>
      </c>
      <c r="D6" s="141"/>
      <c r="E6" s="141"/>
      <c r="F6" s="141"/>
    </row>
    <row r="7" spans="2:6" ht="21.75" customHeight="1">
      <c r="B7" s="15" t="s">
        <v>256</v>
      </c>
      <c r="C7" s="142" t="s">
        <v>196</v>
      </c>
      <c r="D7" s="142"/>
      <c r="E7" s="142"/>
      <c r="F7" s="142"/>
    </row>
    <row r="8" spans="2:6" ht="21.75" customHeight="1">
      <c r="B8" s="59" t="s">
        <v>263</v>
      </c>
      <c r="C8" s="141" t="s">
        <v>159</v>
      </c>
      <c r="D8" s="141"/>
      <c r="E8" s="141"/>
      <c r="F8" s="141"/>
    </row>
    <row r="9" spans="2:6" ht="18" customHeight="1"/>
    <row r="10" spans="2:6" ht="9.75" customHeight="1"/>
    <row r="11" spans="2:6" ht="24" customHeight="1">
      <c r="B11" s="143" t="s">
        <v>158</v>
      </c>
      <c r="C11" s="143"/>
      <c r="D11" s="143"/>
      <c r="E11" s="143"/>
      <c r="F11" s="143"/>
    </row>
    <row r="12" spans="2:6" ht="21.75" customHeight="1">
      <c r="B12" s="29" t="s">
        <v>14</v>
      </c>
      <c r="C12" s="29" t="s">
        <v>156</v>
      </c>
      <c r="D12" s="30" t="s">
        <v>160</v>
      </c>
      <c r="E12" s="30" t="s">
        <v>161</v>
      </c>
      <c r="F12" s="30" t="s">
        <v>164</v>
      </c>
    </row>
    <row r="13" spans="2:6" ht="24" customHeight="1">
      <c r="B13" s="33" t="s">
        <v>264</v>
      </c>
      <c r="C13" s="71" t="s">
        <v>162</v>
      </c>
      <c r="D13" s="71" t="s">
        <v>163</v>
      </c>
      <c r="E13" s="71" t="s">
        <v>165</v>
      </c>
      <c r="F13" s="71" t="s">
        <v>166</v>
      </c>
    </row>
    <row r="14" spans="2:6" ht="24" customHeight="1">
      <c r="B14" s="37" t="s">
        <v>268</v>
      </c>
      <c r="C14" s="75" t="s">
        <v>24</v>
      </c>
      <c r="D14" s="75" t="s">
        <v>168</v>
      </c>
      <c r="E14" s="75" t="s">
        <v>169</v>
      </c>
      <c r="F14" s="75" t="s">
        <v>171</v>
      </c>
    </row>
    <row r="15" spans="2:6" ht="24" customHeight="1">
      <c r="B15" s="23" t="s">
        <v>266</v>
      </c>
      <c r="C15" s="94" t="s">
        <v>24</v>
      </c>
      <c r="D15" s="95" t="s">
        <v>170</v>
      </c>
      <c r="E15" s="95" t="s">
        <v>173</v>
      </c>
      <c r="F15" s="95" t="s">
        <v>172</v>
      </c>
    </row>
    <row r="16" spans="2:6" ht="24" customHeight="1">
      <c r="B16" s="37" t="s">
        <v>167</v>
      </c>
      <c r="C16" s="75" t="s">
        <v>174</v>
      </c>
      <c r="D16" s="75" t="s">
        <v>175</v>
      </c>
      <c r="E16" s="75" t="s">
        <v>175</v>
      </c>
      <c r="F16" s="75" t="s">
        <v>175</v>
      </c>
    </row>
    <row r="17" spans="2:6" ht="24" customHeight="1">
      <c r="B17" s="48" t="s">
        <v>45</v>
      </c>
      <c r="C17" s="71" t="s">
        <v>24</v>
      </c>
      <c r="D17" s="71" t="s">
        <v>267</v>
      </c>
      <c r="E17" s="71" t="s">
        <v>287</v>
      </c>
      <c r="F17" s="71" t="s">
        <v>270</v>
      </c>
    </row>
    <row r="18" spans="2:6" ht="24" customHeight="1">
      <c r="B18" s="23" t="s">
        <v>277</v>
      </c>
      <c r="C18" s="96" t="s">
        <v>289</v>
      </c>
      <c r="D18" s="94" t="s">
        <v>13</v>
      </c>
      <c r="E18" s="94" t="s">
        <v>13</v>
      </c>
      <c r="F18" s="94" t="s">
        <v>13</v>
      </c>
    </row>
    <row r="19" spans="2:6" ht="18" customHeight="1"/>
    <row r="20" spans="2:6" ht="9.75" customHeight="1"/>
    <row r="21" spans="2:6" ht="24" customHeight="1">
      <c r="B21" s="11" t="s">
        <v>105</v>
      </c>
      <c r="C21" s="11"/>
      <c r="D21" s="11"/>
      <c r="E21" s="11"/>
      <c r="F21" s="11"/>
    </row>
    <row r="22" spans="2:6" ht="24" customHeight="1">
      <c r="B22" s="144" t="str">
        <f>'🏥 맞춤 시뮬레이터'!C6&amp;"  /  순수익 "&amp;TEXT('🏥 맞춤 시뮬레이터'!C7,"#,##0")&amp;"만원  /  페이닥터 "&amp;'🏥 맞춤 시뮬레이터'!C8&amp;"명 기준"</f>
        <v>개인사업자  /  순수익 30,000만원  /  페이닥터 3명 기준</v>
      </c>
      <c r="C22" s="144"/>
      <c r="D22" s="144"/>
      <c r="E22" s="144"/>
      <c r="F22" s="144"/>
    </row>
    <row r="23" spans="2:6" ht="21.75" customHeight="1">
      <c r="B23" s="29" t="s">
        <v>14</v>
      </c>
      <c r="C23" s="29" t="s">
        <v>274</v>
      </c>
      <c r="D23" s="30" t="s">
        <v>236</v>
      </c>
      <c r="E23" s="30" t="s">
        <v>239</v>
      </c>
      <c r="F23" s="29" t="s">
        <v>12</v>
      </c>
    </row>
    <row r="24" spans="2:6" ht="24" customHeight="1">
      <c r="B24" s="33" t="s">
        <v>204</v>
      </c>
      <c r="C24" s="97">
        <f>'🏥 맞춤 시뮬레이터'!G6</f>
        <v>4482</v>
      </c>
      <c r="D24" s="97">
        <f>'🏥 맞춤 시뮬레이터'!G6*3</f>
        <v>13446</v>
      </c>
      <c r="E24" s="97">
        <f>'🏥 맞춤 시뮬레이터'!G6*10</f>
        <v>44820</v>
      </c>
      <c r="F24" s="98" t="s">
        <v>20</v>
      </c>
    </row>
    <row r="25" spans="2:6" ht="24" customHeight="1">
      <c r="B25" s="37" t="s">
        <v>120</v>
      </c>
      <c r="C25" s="99">
        <f>'🏥 맞춤 시뮬레이터'!G7</f>
        <v>1873</v>
      </c>
      <c r="D25" s="99">
        <f>'🏥 맞춤 시뮬레이터'!G7*3</f>
        <v>5619</v>
      </c>
      <c r="E25" s="99">
        <f>'🏥 맞춤 시뮬레이터'!G7*10</f>
        <v>18730</v>
      </c>
      <c r="F25" s="100" t="s">
        <v>20</v>
      </c>
    </row>
    <row r="26" spans="2:6" ht="24" customHeight="1">
      <c r="B26" s="33" t="s">
        <v>118</v>
      </c>
      <c r="C26" s="97">
        <f>'🏥 맞춤 시뮬레이터'!G8</f>
        <v>1500</v>
      </c>
      <c r="D26" s="97">
        <f>'🏥 맞춤 시뮬레이터'!G8*3</f>
        <v>4500</v>
      </c>
      <c r="E26" s="97">
        <f>'🏥 맞춤 시뮬레이터'!G8*10</f>
        <v>15000</v>
      </c>
      <c r="F26" s="98" t="s">
        <v>20</v>
      </c>
    </row>
    <row r="27" spans="2:6" ht="24" customHeight="1">
      <c r="B27" s="39" t="s">
        <v>259</v>
      </c>
      <c r="C27" s="42">
        <f>'🏥 맞춤 시뮬레이터'!F14</f>
        <v>7855</v>
      </c>
      <c r="D27" s="42">
        <f>'🏥 맞춤 시뮬레이터'!F14*3</f>
        <v>23565</v>
      </c>
      <c r="E27" s="42">
        <f>'🏥 맞춤 시뮬레이터'!F14*10</f>
        <v>78550</v>
      </c>
      <c r="F27" s="101" t="s">
        <v>20</v>
      </c>
    </row>
    <row r="28" spans="2:6" ht="24" customHeight="1">
      <c r="B28" s="130" t="s">
        <v>60</v>
      </c>
      <c r="C28" s="130"/>
      <c r="D28" s="130"/>
      <c r="E28" s="130"/>
      <c r="F28" s="130"/>
    </row>
    <row r="29" spans="2:6" ht="12" customHeight="1"/>
    <row r="30" spans="2:6" ht="24" customHeight="1">
      <c r="B30" s="3" t="s">
        <v>176</v>
      </c>
      <c r="C30" s="3"/>
      <c r="D30" s="3"/>
      <c r="E30" s="3"/>
      <c r="F30" s="3"/>
    </row>
    <row r="31" spans="2:6" ht="72" customHeight="1">
      <c r="B31" s="145" t="s">
        <v>80</v>
      </c>
      <c r="C31" s="145"/>
      <c r="D31" s="145"/>
      <c r="E31" s="145"/>
      <c r="F31" s="145"/>
    </row>
    <row r="32" spans="2:6" ht="18" customHeight="1"/>
    <row r="33" spans="2:6" ht="12" customHeight="1"/>
    <row r="34" spans="2:6" ht="24" customHeight="1">
      <c r="B34" s="131" t="s">
        <v>192</v>
      </c>
      <c r="C34" s="131"/>
      <c r="D34" s="131"/>
      <c r="E34" s="131"/>
      <c r="F34" s="131"/>
    </row>
    <row r="35" spans="2:6" ht="18" customHeight="1"/>
    <row r="36" spans="2:6" ht="13.5" customHeight="1"/>
    <row r="37" spans="2:6" ht="24" customHeight="1">
      <c r="B37" s="146" t="s">
        <v>217</v>
      </c>
      <c r="C37" s="146"/>
      <c r="D37" s="146"/>
      <c r="E37" s="146"/>
      <c r="F37" s="146"/>
    </row>
    <row r="38" spans="2:6" ht="24" customHeight="1">
      <c r="B38" s="147" t="s">
        <v>72</v>
      </c>
      <c r="C38" s="147"/>
      <c r="D38" s="147"/>
      <c r="E38" s="147"/>
      <c r="F38" s="147"/>
    </row>
    <row r="39" spans="2:6" ht="19.5" customHeight="1">
      <c r="B39" s="15" t="s">
        <v>286</v>
      </c>
      <c r="C39" s="148" t="s">
        <v>177</v>
      </c>
      <c r="D39" s="148"/>
      <c r="E39" s="148"/>
      <c r="F39" s="148"/>
    </row>
    <row r="40" spans="2:6" ht="19.5" customHeight="1">
      <c r="B40" s="59" t="s">
        <v>273</v>
      </c>
      <c r="C40" s="149" t="s">
        <v>32</v>
      </c>
      <c r="D40" s="149"/>
      <c r="E40" s="149"/>
      <c r="F40" s="149"/>
    </row>
    <row r="41" spans="2:6" ht="19.5" customHeight="1">
      <c r="B41" s="15" t="s">
        <v>256</v>
      </c>
      <c r="C41" s="150" t="s">
        <v>35</v>
      </c>
      <c r="D41" s="150"/>
      <c r="E41" s="150"/>
      <c r="F41" s="150"/>
    </row>
    <row r="42" spans="2:6" ht="19.5" customHeight="1">
      <c r="B42" s="59" t="s">
        <v>263</v>
      </c>
      <c r="C42" s="149" t="s">
        <v>178</v>
      </c>
      <c r="D42" s="149"/>
      <c r="E42" s="149"/>
      <c r="F42" s="149"/>
    </row>
    <row r="43" spans="2:6" ht="24" customHeight="1">
      <c r="B43" s="151" t="s">
        <v>179</v>
      </c>
      <c r="C43" s="151"/>
      <c r="D43" s="151"/>
      <c r="E43" s="151"/>
      <c r="F43" s="151"/>
    </row>
    <row r="44" spans="2:6" ht="19.5" customHeight="1">
      <c r="B44" s="29" t="s">
        <v>14</v>
      </c>
      <c r="C44" s="29" t="s">
        <v>288</v>
      </c>
      <c r="D44" s="30" t="s">
        <v>10</v>
      </c>
      <c r="E44" s="30" t="s">
        <v>25</v>
      </c>
      <c r="F44" s="29" t="s">
        <v>19</v>
      </c>
    </row>
    <row r="45" spans="2:6" ht="21.75" customHeight="1">
      <c r="B45" s="33" t="s">
        <v>264</v>
      </c>
      <c r="C45" s="71" t="s">
        <v>275</v>
      </c>
      <c r="D45" s="71" t="s">
        <v>281</v>
      </c>
      <c r="E45" s="71" t="s">
        <v>278</v>
      </c>
      <c r="F45" s="71" t="s">
        <v>24</v>
      </c>
    </row>
    <row r="46" spans="2:6" ht="21.75" customHeight="1">
      <c r="B46" s="37" t="s">
        <v>268</v>
      </c>
      <c r="C46" s="75" t="s">
        <v>24</v>
      </c>
      <c r="D46" s="75" t="s">
        <v>276</v>
      </c>
      <c r="E46" s="75" t="s">
        <v>260</v>
      </c>
      <c r="F46" s="75" t="s">
        <v>269</v>
      </c>
    </row>
    <row r="47" spans="2:6" ht="21.75" customHeight="1">
      <c r="B47" s="23" t="s">
        <v>266</v>
      </c>
      <c r="C47" s="94" t="s">
        <v>24</v>
      </c>
      <c r="D47" s="95" t="s">
        <v>280</v>
      </c>
      <c r="E47" s="95" t="s">
        <v>279</v>
      </c>
      <c r="F47" s="95" t="s">
        <v>279</v>
      </c>
    </row>
    <row r="48" spans="2:6" ht="21.75" customHeight="1">
      <c r="B48" s="37" t="s">
        <v>277</v>
      </c>
      <c r="C48" s="75" t="s">
        <v>9</v>
      </c>
      <c r="D48" s="75" t="s">
        <v>9</v>
      </c>
      <c r="E48" s="75" t="s">
        <v>9</v>
      </c>
      <c r="F48" s="75" t="s">
        <v>9</v>
      </c>
    </row>
    <row r="49" spans="2:6" ht="18" customHeight="1"/>
    <row r="50" spans="2:6" ht="12" customHeight="1"/>
    <row r="51" spans="2:6" ht="24" customHeight="1">
      <c r="B51" s="147" t="s">
        <v>68</v>
      </c>
      <c r="C51" s="147"/>
      <c r="D51" s="147"/>
      <c r="E51" s="147"/>
      <c r="F51" s="147"/>
    </row>
    <row r="52" spans="2:6" ht="19.5" customHeight="1">
      <c r="B52" s="15" t="s">
        <v>286</v>
      </c>
      <c r="C52" s="148" t="s">
        <v>181</v>
      </c>
      <c r="D52" s="148"/>
      <c r="E52" s="148"/>
      <c r="F52" s="148"/>
    </row>
    <row r="53" spans="2:6" ht="19.5" customHeight="1">
      <c r="B53" s="59" t="s">
        <v>273</v>
      </c>
      <c r="C53" s="149" t="s">
        <v>78</v>
      </c>
      <c r="D53" s="149"/>
      <c r="E53" s="149"/>
      <c r="F53" s="149"/>
    </row>
    <row r="54" spans="2:6" ht="19.5" customHeight="1">
      <c r="B54" s="15" t="s">
        <v>256</v>
      </c>
      <c r="C54" s="150" t="s">
        <v>36</v>
      </c>
      <c r="D54" s="150"/>
      <c r="E54" s="150"/>
      <c r="F54" s="150"/>
    </row>
    <row r="55" spans="2:6" ht="19.5" customHeight="1">
      <c r="B55" s="59" t="s">
        <v>263</v>
      </c>
      <c r="C55" s="149" t="s">
        <v>180</v>
      </c>
      <c r="D55" s="149"/>
      <c r="E55" s="149"/>
      <c r="F55" s="149"/>
    </row>
    <row r="56" spans="2:6" ht="24" customHeight="1">
      <c r="B56" s="151" t="s">
        <v>183</v>
      </c>
      <c r="C56" s="151"/>
      <c r="D56" s="151"/>
      <c r="E56" s="151"/>
      <c r="F56" s="151"/>
    </row>
    <row r="57" spans="2:6" ht="19.5" customHeight="1">
      <c r="B57" s="29" t="s">
        <v>14</v>
      </c>
      <c r="C57" s="29" t="s">
        <v>288</v>
      </c>
      <c r="D57" s="30" t="s">
        <v>182</v>
      </c>
      <c r="E57" s="30"/>
      <c r="F57" s="29" t="s">
        <v>15</v>
      </c>
    </row>
    <row r="58" spans="2:6" ht="21.75" customHeight="1">
      <c r="B58" s="33" t="s">
        <v>264</v>
      </c>
      <c r="C58" s="102" t="s">
        <v>283</v>
      </c>
      <c r="D58" s="103" t="s">
        <v>272</v>
      </c>
      <c r="E58" s="104"/>
      <c r="F58" s="50" t="s">
        <v>258</v>
      </c>
    </row>
    <row r="59" spans="2:6" ht="21.75" customHeight="1">
      <c r="B59" s="37" t="s">
        <v>268</v>
      </c>
      <c r="C59" s="75" t="s">
        <v>24</v>
      </c>
      <c r="D59" s="105" t="s">
        <v>290</v>
      </c>
      <c r="E59" s="106"/>
      <c r="F59" s="107" t="s">
        <v>292</v>
      </c>
    </row>
    <row r="60" spans="2:6" ht="21.75" customHeight="1">
      <c r="B60" s="23" t="s">
        <v>284</v>
      </c>
      <c r="C60" s="108" t="s">
        <v>265</v>
      </c>
      <c r="D60" s="109" t="s">
        <v>271</v>
      </c>
      <c r="E60" s="110"/>
      <c r="F60" s="111" t="s">
        <v>188</v>
      </c>
    </row>
    <row r="61" spans="2:6" ht="21.75" customHeight="1">
      <c r="B61" s="37" t="s">
        <v>277</v>
      </c>
      <c r="C61" s="75" t="s">
        <v>9</v>
      </c>
      <c r="D61" s="75" t="s">
        <v>9</v>
      </c>
      <c r="E61" s="106"/>
      <c r="F61" s="53" t="s">
        <v>291</v>
      </c>
    </row>
    <row r="63" spans="2:6" ht="12" customHeight="1"/>
    <row r="64" spans="2:6" ht="24" customHeight="1">
      <c r="B64" s="140" t="s">
        <v>192</v>
      </c>
      <c r="C64" s="140"/>
      <c r="D64" s="140"/>
      <c r="E64" s="140"/>
      <c r="F64" s="140"/>
    </row>
  </sheetData>
  <mergeCells count="27">
    <mergeCell ref="B56:F56"/>
    <mergeCell ref="B64:F64"/>
    <mergeCell ref="B51:F51"/>
    <mergeCell ref="C52:F52"/>
    <mergeCell ref="C53:F53"/>
    <mergeCell ref="C54:F54"/>
    <mergeCell ref="C55:F55"/>
    <mergeCell ref="C39:F39"/>
    <mergeCell ref="C40:F40"/>
    <mergeCell ref="C41:F41"/>
    <mergeCell ref="C42:F42"/>
    <mergeCell ref="B43:F43"/>
    <mergeCell ref="B30:F30"/>
    <mergeCell ref="B31:F31"/>
    <mergeCell ref="B34:F34"/>
    <mergeCell ref="B37:F37"/>
    <mergeCell ref="B38:F38"/>
    <mergeCell ref="C8:F8"/>
    <mergeCell ref="B11:F11"/>
    <mergeCell ref="B21:F21"/>
    <mergeCell ref="B22:F22"/>
    <mergeCell ref="B28:F28"/>
    <mergeCell ref="B2:F2"/>
    <mergeCell ref="B4:F4"/>
    <mergeCell ref="C5:F5"/>
    <mergeCell ref="C6:F6"/>
    <mergeCell ref="C7:F7"/>
  </mergeCells>
  <phoneticPr fontId="62" type="noConversion"/>
  <pageMargins left="0.75" right="0.75" top="1" bottom="1" header="0.51180553436279297" footer="0.5118055343627929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1:C44"/>
  <sheetViews>
    <sheetView showGridLines="0" zoomScaleNormal="100" zoomScaleSheetLayoutView="75" workbookViewId="0"/>
  </sheetViews>
  <sheetFormatPr defaultColWidth="8.7109375" defaultRowHeight="15"/>
  <cols>
    <col min="1" max="1" width="2" customWidth="1"/>
    <col min="2" max="2" width="26" customWidth="1"/>
    <col min="3" max="3" width="73.85546875" customWidth="1"/>
    <col min="4" max="4" width="2" customWidth="1"/>
  </cols>
  <sheetData>
    <row r="1" spans="2:3" ht="18" customHeight="1"/>
    <row r="2" spans="2:3" ht="37.5" customHeight="1">
      <c r="B2" s="152" t="s">
        <v>70</v>
      </c>
      <c r="C2" s="152"/>
    </row>
    <row r="3" spans="2:3" ht="19.5" customHeight="1">
      <c r="B3" s="153" t="s">
        <v>104</v>
      </c>
      <c r="C3" s="153"/>
    </row>
    <row r="4" spans="2:3" ht="18" customHeight="1">
      <c r="B4" s="154" t="s">
        <v>106</v>
      </c>
      <c r="C4" s="154"/>
    </row>
    <row r="5" spans="2:3" ht="9.75" customHeight="1"/>
    <row r="6" spans="2:3" ht="24" customHeight="1">
      <c r="B6" s="155" t="s">
        <v>186</v>
      </c>
      <c r="C6" s="155"/>
    </row>
    <row r="7" spans="2:3" ht="27.75" customHeight="1">
      <c r="B7" s="15" t="s">
        <v>52</v>
      </c>
      <c r="C7" s="112" t="s">
        <v>30</v>
      </c>
    </row>
    <row r="8" spans="2:3" ht="27.75" customHeight="1">
      <c r="B8" s="59" t="s">
        <v>286</v>
      </c>
      <c r="C8" s="112" t="s">
        <v>218</v>
      </c>
    </row>
    <row r="9" spans="2:3" ht="27.75" customHeight="1">
      <c r="B9" s="15" t="s">
        <v>220</v>
      </c>
      <c r="C9" s="112" t="s">
        <v>201</v>
      </c>
    </row>
    <row r="10" spans="2:3" ht="27.75" customHeight="1">
      <c r="B10" s="59" t="s">
        <v>184</v>
      </c>
      <c r="C10" s="112" t="s">
        <v>63</v>
      </c>
    </row>
    <row r="11" spans="2:3" ht="27.75" customHeight="1">
      <c r="B11" s="15" t="s">
        <v>223</v>
      </c>
      <c r="C11" s="112" t="s">
        <v>187</v>
      </c>
    </row>
    <row r="12" spans="2:3" ht="27.75" customHeight="1">
      <c r="B12" s="59" t="s">
        <v>185</v>
      </c>
      <c r="C12" s="113" t="s">
        <v>58</v>
      </c>
    </row>
    <row r="13" spans="2:3" ht="27.75" customHeight="1">
      <c r="B13" s="15" t="s">
        <v>46</v>
      </c>
      <c r="C13" s="112" t="s">
        <v>33</v>
      </c>
    </row>
    <row r="14" spans="2:3" ht="18" customHeight="1"/>
    <row r="15" spans="2:3" ht="9.75" customHeight="1"/>
    <row r="16" spans="2:3" ht="24" customHeight="1">
      <c r="B16" s="155" t="s">
        <v>28</v>
      </c>
      <c r="C16" s="155"/>
    </row>
    <row r="17" spans="2:3" ht="24" customHeight="1">
      <c r="B17" s="148" t="s">
        <v>29</v>
      </c>
      <c r="C17" s="148"/>
    </row>
    <row r="18" spans="2:3" ht="24" customHeight="1">
      <c r="B18" s="156" t="s">
        <v>31</v>
      </c>
      <c r="C18" s="156"/>
    </row>
    <row r="19" spans="2:3" ht="24" customHeight="1">
      <c r="B19" s="148" t="s">
        <v>199</v>
      </c>
      <c r="C19" s="148"/>
    </row>
    <row r="20" spans="2:3" ht="24" customHeight="1">
      <c r="B20" s="156" t="s">
        <v>65</v>
      </c>
      <c r="C20" s="156"/>
    </row>
    <row r="21" spans="2:3" ht="24" customHeight="1">
      <c r="B21" s="148" t="s">
        <v>200</v>
      </c>
      <c r="C21" s="148"/>
    </row>
    <row r="22" spans="2:3" ht="24" customHeight="1">
      <c r="B22" s="156" t="s">
        <v>114</v>
      </c>
      <c r="C22" s="156"/>
    </row>
    <row r="23" spans="2:3" ht="18" customHeight="1"/>
    <row r="24" spans="2:3" ht="9.75" customHeight="1"/>
    <row r="25" spans="2:3" ht="24" customHeight="1">
      <c r="B25" s="157" t="s">
        <v>51</v>
      </c>
      <c r="C25" s="157"/>
    </row>
    <row r="26" spans="2:3" ht="60" customHeight="1">
      <c r="B26" s="158" t="s">
        <v>96</v>
      </c>
      <c r="C26" s="158"/>
    </row>
    <row r="27" spans="2:3" ht="12" customHeight="1"/>
    <row r="28" spans="2:3" ht="27.75" customHeight="1">
      <c r="B28" s="159" t="s">
        <v>64</v>
      </c>
      <c r="C28" s="159"/>
    </row>
    <row r="29" spans="2:3" ht="21.75" customHeight="1">
      <c r="B29" s="160" t="s">
        <v>4</v>
      </c>
      <c r="C29" s="160"/>
    </row>
    <row r="30" spans="2:3" ht="21.75" customHeight="1">
      <c r="B30" s="161" t="s">
        <v>202</v>
      </c>
      <c r="C30" s="161"/>
    </row>
    <row r="31" spans="2:3" ht="9.75" customHeight="1"/>
    <row r="32" spans="2:3" ht="18" customHeight="1">
      <c r="B32" s="162" t="s">
        <v>66</v>
      </c>
      <c r="C32" s="162"/>
    </row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</sheetData>
  <mergeCells count="17">
    <mergeCell ref="B30:C30"/>
    <mergeCell ref="B32:C32"/>
    <mergeCell ref="B22:C22"/>
    <mergeCell ref="B25:C25"/>
    <mergeCell ref="B26:C26"/>
    <mergeCell ref="B28:C28"/>
    <mergeCell ref="B29:C29"/>
    <mergeCell ref="B17:C17"/>
    <mergeCell ref="B18:C18"/>
    <mergeCell ref="B19:C19"/>
    <mergeCell ref="B20:C20"/>
    <mergeCell ref="B21:C21"/>
    <mergeCell ref="B2:C2"/>
    <mergeCell ref="B3:C3"/>
    <mergeCell ref="B4:C4"/>
    <mergeCell ref="B6:C6"/>
    <mergeCell ref="B16:C16"/>
  </mergeCells>
  <phoneticPr fontId="62" type="noConversion"/>
  <pageMargins left="0.75" right="0.75" top="1" bottom="1" header="0.51180553436279297" footer="0.5118055343627929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2:I8"/>
  <sheetViews>
    <sheetView zoomScaleNormal="100" zoomScaleSheetLayoutView="75" workbookViewId="0"/>
  </sheetViews>
  <sheetFormatPr defaultColWidth="8.7109375" defaultRowHeight="15"/>
  <sheetData>
    <row r="2" spans="1:9" ht="15" customHeight="1">
      <c r="A2">
        <v>10000000</v>
      </c>
      <c r="B2">
        <v>1.58</v>
      </c>
      <c r="C2">
        <v>1.5</v>
      </c>
      <c r="E2">
        <v>12000000</v>
      </c>
      <c r="F2">
        <v>6.6000000000000003E-2</v>
      </c>
      <c r="H2">
        <v>200000000</v>
      </c>
      <c r="I2">
        <v>0.09</v>
      </c>
    </row>
    <row r="3" spans="1:9" ht="15" customHeight="1">
      <c r="A3">
        <v>15000000</v>
      </c>
      <c r="B3">
        <v>1.583</v>
      </c>
      <c r="C3">
        <v>1.5</v>
      </c>
      <c r="E3">
        <v>46000000</v>
      </c>
      <c r="F3">
        <v>0.16500000000000001</v>
      </c>
      <c r="H3">
        <v>20000000000</v>
      </c>
      <c r="I3">
        <v>0.19</v>
      </c>
    </row>
    <row r="4" spans="1:9" ht="15" customHeight="1">
      <c r="A4">
        <v>20000000</v>
      </c>
      <c r="B4">
        <v>1.585</v>
      </c>
      <c r="C4">
        <v>1.5</v>
      </c>
      <c r="E4">
        <v>88000000</v>
      </c>
      <c r="F4">
        <v>0.26400000000000001</v>
      </c>
      <c r="H4">
        <v>999999999999</v>
      </c>
      <c r="I4">
        <v>0.21</v>
      </c>
    </row>
    <row r="5" spans="1:9" ht="15" customHeight="1">
      <c r="A5">
        <v>25000000</v>
      </c>
      <c r="B5">
        <v>1.5840000000000001</v>
      </c>
      <c r="C5">
        <v>1.5</v>
      </c>
      <c r="E5">
        <v>150000000</v>
      </c>
      <c r="F5">
        <v>0.38500000000000001</v>
      </c>
    </row>
    <row r="6" spans="1:9" ht="15" customHeight="1">
      <c r="A6">
        <v>30000000</v>
      </c>
      <c r="B6">
        <v>1.583</v>
      </c>
      <c r="C6">
        <v>1.5</v>
      </c>
      <c r="E6">
        <v>300000000</v>
      </c>
      <c r="F6">
        <v>0.41799999999999998</v>
      </c>
    </row>
    <row r="7" spans="1:9" ht="15" customHeight="1">
      <c r="A7">
        <v>35000000</v>
      </c>
      <c r="B7">
        <v>1.5860000000000001</v>
      </c>
      <c r="C7">
        <v>1.5</v>
      </c>
      <c r="E7">
        <v>500000000</v>
      </c>
      <c r="F7">
        <v>0.44</v>
      </c>
    </row>
    <row r="8" spans="1:9" ht="15" customHeight="1">
      <c r="E8">
        <v>999999999999</v>
      </c>
      <c r="F8">
        <v>0.495</v>
      </c>
    </row>
  </sheetData>
  <phoneticPr fontId="62" type="noConversion"/>
  <pageMargins left="0.75" right="0.75" top="1" bottom="1" header="0.51180553436279297" footer="0.5118055343627929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🏥 맞춤 시뮬레이터</vt:lpstr>
      <vt:lpstr>📋 DC형·복지기금 상세</vt:lpstr>
      <vt:lpstr>💰 페이닥터 절세전략</vt:lpstr>
      <vt:lpstr>💬 페이닥터 설득 스크립트</vt:lpstr>
      <vt:lpstr>📊 참고사례</vt:lpstr>
      <vt:lpstr>📝 무료 진단 신청서</vt:lpstr>
      <vt:lpstr>_기준표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 a</cp:lastModifiedBy>
  <cp:revision>2</cp:revision>
  <dcterms:created xsi:type="dcterms:W3CDTF">2026-03-16T07:46:30Z</dcterms:created>
  <dcterms:modified xsi:type="dcterms:W3CDTF">2026-03-16T09:46:38Z</dcterms:modified>
  <cp:version>0906.0200.01</cp:version>
</cp:coreProperties>
</file>