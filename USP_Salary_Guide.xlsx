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tgama\Desktop\"/>
    </mc:Choice>
  </mc:AlternateContent>
  <xr:revisionPtr revIDLastSave="0" documentId="13_ncr:1_{8C5397ED-545D-425A-B62F-1F9BA530642F}" xr6:coauthVersionLast="47" xr6:coauthVersionMax="47" xr10:uidLastSave="{00000000-0000-0000-0000-000000000000}"/>
  <bookViews>
    <workbookView xWindow="-28920" yWindow="-120" windowWidth="29040" windowHeight="15720" tabRatio="756" xr2:uid="{00000000-000D-0000-FFFF-FFFF00000000}"/>
  </bookViews>
  <sheets>
    <sheet name="표지" sheetId="1" r:id="rId1"/>
    <sheet name="①네트vs그로스비교" sheetId="2" r:id="rId2"/>
    <sheet name="②전환시뮬레이션" sheetId="3" r:id="rId3"/>
    <sheet name="③3-Tier보상체계" sheetId="4" r:id="rId4"/>
    <sheet name="④비과세복지항목" sheetId="5" r:id="rId5"/>
    <sheet name="⑤절세전략시뮬레이션" sheetId="6" r:id="rId6"/>
    <sheet name="⑥전환체크리스트" sheetId="7" r:id="rId7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1" i="6" l="1"/>
  <c r="C11" i="6"/>
  <c r="C14" i="3"/>
  <c r="C19" i="3" s="1"/>
  <c r="C13" i="3"/>
  <c r="C15" i="3" l="1"/>
  <c r="C17" i="3"/>
  <c r="C22" i="3"/>
  <c r="C23" i="3" s="1"/>
  <c r="C16" i="3" l="1"/>
  <c r="C18" i="3" s="1"/>
  <c r="C27" i="3" s="1"/>
  <c r="C28" i="3" s="1"/>
  <c r="C29" i="3" s="1"/>
</calcChain>
</file>

<file path=xl/sharedStrings.xml><?xml version="1.0" encoding="utf-8"?>
<sst xmlns="http://schemas.openxmlformats.org/spreadsheetml/2006/main" count="297" uniqueCount="247">
  <si>
    <t>페이닥터 급여 구조 최적화 가이드</t>
  </si>
  <si>
    <t>📋 본 자료의 구성</t>
  </si>
  <si>
    <t xml:space="preserve">    우리 병원 페이닥터 급여를 입력하면 절감액이 자동 산출됩니다</t>
  </si>
  <si>
    <t>④ 비과세 복지 항목 체크리스트</t>
  </si>
  <si>
    <t xml:space="preserve">    사내근로복지기금 활용 가능 항목과 요건을 정리했습니다</t>
  </si>
  <si>
    <t>⑤ 절세 전략 시뮬레이션</t>
  </si>
  <si>
    <t xml:space="preserve">    페이닥터 개인별 연간 절세 효과를 시뮬레이션합니다</t>
  </si>
  <si>
    <t>⑥ 전환 실행 체크리스트</t>
  </si>
  <si>
    <t xml:space="preserve">    단계별 실행 항목과 주의사항을 체크리스트로 제공합니다</t>
  </si>
  <si>
    <r>
      <rPr>
        <sz val="9"/>
        <color rgb="FF666666"/>
        <rFont val="맑은 고딕"/>
        <family val="3"/>
        <charset val="129"/>
      </rPr>
      <t xml:space="preserve">ⓒ USP COMPANY  |  </t>
    </r>
    <r>
      <rPr>
        <sz val="9"/>
        <color rgb="FF666666"/>
        <rFont val="Noto Sans CJK SC"/>
        <family val="2"/>
      </rPr>
      <t>인사</t>
    </r>
    <r>
      <rPr>
        <sz val="9"/>
        <color rgb="FF666666"/>
        <rFont val="맑은 고딕"/>
        <family val="3"/>
        <charset val="129"/>
      </rPr>
      <t>·</t>
    </r>
    <r>
      <rPr>
        <sz val="9"/>
        <color rgb="FF666666"/>
        <rFont val="Noto Sans CJK SC"/>
        <family val="2"/>
      </rPr>
      <t>노무</t>
    </r>
    <r>
      <rPr>
        <sz val="9"/>
        <color rgb="FF666666"/>
        <rFont val="맑은 고딕"/>
        <family val="3"/>
        <charset val="129"/>
      </rPr>
      <t>·</t>
    </r>
    <r>
      <rPr>
        <sz val="9"/>
        <color rgb="FF666666"/>
        <rFont val="Noto Sans CJK SC"/>
        <family val="2"/>
      </rPr>
      <t>세무</t>
    </r>
    <r>
      <rPr>
        <sz val="9"/>
        <color rgb="FF666666"/>
        <rFont val="맑은 고딕"/>
        <family val="3"/>
        <charset val="129"/>
      </rPr>
      <t>·</t>
    </r>
    <r>
      <rPr>
        <sz val="9"/>
        <color rgb="FF666666"/>
        <rFont val="Noto Sans CJK SC"/>
        <family val="2"/>
      </rPr>
      <t>재무</t>
    </r>
    <r>
      <rPr>
        <sz val="9"/>
        <color rgb="FF666666"/>
        <rFont val="맑은 고딕"/>
        <family val="3"/>
        <charset val="129"/>
      </rPr>
      <t>·</t>
    </r>
    <r>
      <rPr>
        <sz val="9"/>
        <color rgb="FF666666"/>
        <rFont val="Noto Sans CJK SC"/>
        <family val="2"/>
      </rPr>
      <t xml:space="preserve">법무 원스톱 코디네이션  </t>
    </r>
    <r>
      <rPr>
        <sz val="9"/>
        <color rgb="FF666666"/>
        <rFont val="맑은 고딕"/>
        <family val="3"/>
        <charset val="129"/>
      </rPr>
      <t xml:space="preserve">|  </t>
    </r>
    <r>
      <rPr>
        <sz val="9"/>
        <color rgb="FF666666"/>
        <rFont val="Noto Sans CJK SC"/>
        <family val="2"/>
      </rPr>
      <t>대표 김하나</t>
    </r>
  </si>
  <si>
    <t>구분</t>
  </si>
  <si>
    <t>개념</t>
  </si>
  <si>
    <t>병원 비용
부담</t>
  </si>
  <si>
    <t>손금 처리</t>
  </si>
  <si>
    <t>세금 대납분은 손금 처리 불가
→ 법인세 절감 효과 ↓</t>
  </si>
  <si>
    <t>인건비 전액 손금 처리 가능
→ 법인세 절감 효과 ↑</t>
  </si>
  <si>
    <t>성과 연동</t>
  </si>
  <si>
    <t>실수령 고정 → 성과급 설계 어려움
→ 동기부여 구조 부재</t>
  </si>
  <si>
    <t>세전 기준 → 성과급 자유 설계
→ 동기부여 극대화</t>
  </si>
  <si>
    <t>페이닥터
절세 기회</t>
  </si>
  <si>
    <t>퇴직금
관리</t>
  </si>
  <si>
    <t>세전 급여 불명확
→ 퇴직금 분쟁 가능성 높음</t>
  </si>
  <si>
    <t>리텐션
경쟁력</t>
  </si>
  <si>
    <t>단순 실수령 경쟁
→ 차별화 어려움</t>
  </si>
  <si>
    <t>구조적 혜택 설계
→ 경쟁병원 대비 압도적 차별화</t>
  </si>
  <si>
    <t>종합 평가</t>
  </si>
  <si>
    <t>🧮  네트제 → 그로스제 전환 시뮬레이션</t>
  </si>
  <si>
    <t>파란색 셀에 우리 병원 수치를 입력하시면 자동으로 계산됩니다</t>
  </si>
  <si>
    <t>← 수정 가능</t>
  </si>
  <si>
    <t>입력값</t>
  </si>
  <si>
    <t>⚠ 숨겨진 비용</t>
  </si>
  <si>
    <t>역산된 세전급여와 동일 설정</t>
  </si>
  <si>
    <t>병원 세금 대납분</t>
  </si>
  <si>
    <t>세금 대납분 절감</t>
  </si>
  <si>
    <t>페이닥터 전원 기준</t>
  </si>
  <si>
    <t>900~1,800</t>
  </si>
  <si>
    <t>별도 설계</t>
  </si>
  <si>
    <t>비중</t>
  </si>
  <si>
    <t>측정 기준</t>
  </si>
  <si>
    <t>비고</t>
  </si>
  <si>
    <t>매출 기여도</t>
  </si>
  <si>
    <t>60%</t>
  </si>
  <si>
    <t>핵심 지표</t>
  </si>
  <si>
    <t>외래 환자수</t>
  </si>
  <si>
    <t>20%</t>
  </si>
  <si>
    <t>월간 외래 환자 처리 건수</t>
  </si>
  <si>
    <t>양적 지표</t>
  </si>
  <si>
    <t>시술 건수</t>
  </si>
  <si>
    <t>15%</t>
  </si>
  <si>
    <t>월간 주요 시술 수행 건수</t>
  </si>
  <si>
    <t>수익성 지표</t>
  </si>
  <si>
    <t>환자 만족도</t>
  </si>
  <si>
    <t>5%</t>
  </si>
  <si>
    <t>환자 설문 평균 점수</t>
  </si>
  <si>
    <t>질적 지표</t>
  </si>
  <si>
    <t>비율</t>
  </si>
  <si>
    <t>설명</t>
  </si>
  <si>
    <t>65%</t>
  </si>
  <si>
    <t>30%</t>
  </si>
  <si>
    <t>5%+α</t>
  </si>
  <si>
    <t>사내근로복지기금 등 비과세 설계</t>
  </si>
  <si>
    <t>합계</t>
  </si>
  <si>
    <t>100%</t>
  </si>
  <si>
    <t>✅  사내근로복지기금 비과세 복지 항목 체크리스트</t>
  </si>
  <si>
    <t>No.</t>
  </si>
  <si>
    <t>항목</t>
  </si>
  <si>
    <t>내용 및 요건</t>
  </si>
  <si>
    <t>비과세 한도</t>
  </si>
  <si>
    <t>주택자금 대부</t>
  </si>
  <si>
    <t>대출이자 차액
비과세</t>
  </si>
  <si>
    <t>☐</t>
  </si>
  <si>
    <t>학자금 지원</t>
  </si>
  <si>
    <t>경조금</t>
  </si>
  <si>
    <t>사회통념 범위
비과세</t>
  </si>
  <si>
    <t>재난구호금</t>
  </si>
  <si>
    <t>실비 범위
비과세</t>
  </si>
  <si>
    <t>장학금</t>
  </si>
  <si>
    <t>우수 근로자 자녀 장학금
복지기금 정관에 명시 필요</t>
  </si>
  <si>
    <t>정관 규정 범위</t>
  </si>
  <si>
    <t>생활안정자금</t>
  </si>
  <si>
    <t>사내근로복지시설
운영비</t>
  </si>
  <si>
    <t>실비 범위</t>
  </si>
  <si>
    <t>우리사주 출연</t>
  </si>
  <si>
    <t>우리사주조합에 출연하는 금액
복지기금에서 출연 가능</t>
  </si>
  <si>
    <t>식대 보조</t>
  </si>
  <si>
    <t>자가운전보조금</t>
  </si>
  <si>
    <t>자기 차량 업무 사용 시
실비 변상 차원</t>
  </si>
  <si>
    <t>💎  페이닥터 개인 절세 전략 시뮬레이션</t>
  </si>
  <si>
    <t>절세 전략</t>
  </si>
  <si>
    <t>벤처투자 소득공제</t>
  </si>
  <si>
    <t>맞벌이 최적화</t>
  </si>
  <si>
    <t>부부 소득 분산
공제 항목 최적 배분</t>
  </si>
  <si>
    <t>기부금 전략</t>
  </si>
  <si>
    <t>보험료 공제</t>
  </si>
  <si>
    <t>교육비 공제</t>
  </si>
  <si>
    <t>🔑  경쟁 병원과의 차별화 포인트</t>
  </si>
  <si>
    <t>경쟁 병원</t>
  </si>
  <si>
    <t>📋  네트제 → 그로스제 전환 실행 체크리스트</t>
  </si>
  <si>
    <t>단계</t>
  </si>
  <si>
    <t>실행 항목</t>
  </si>
  <si>
    <t>체크</t>
  </si>
  <si>
    <t>사전 준비</t>
  </si>
  <si>
    <t>현행 급여 구조 분석</t>
  </si>
  <si>
    <t>전환 시뮬레이션 실행</t>
  </si>
  <si>
    <t>그로스 기준 급여 역산 및 비용 비교표 작성</t>
  </si>
  <si>
    <t>법률 검토</t>
  </si>
  <si>
    <t>설계</t>
  </si>
  <si>
    <t>기본급 재설계</t>
  </si>
  <si>
    <t>성과급 체계 수립</t>
  </si>
  <si>
    <t>비과세 복지 설계</t>
  </si>
  <si>
    <t>퇴직금 분쟁 방지</t>
  </si>
  <si>
    <t>실행</t>
  </si>
  <si>
    <t>전환 합의서 징구</t>
  </si>
  <si>
    <t>단계적 전환 실시</t>
  </si>
  <si>
    <t>급여 시스템 변경</t>
  </si>
  <si>
    <t>절세 전략 안내</t>
  </si>
  <si>
    <t>사후 관리</t>
  </si>
  <si>
    <t>월별 모니터링</t>
  </si>
  <si>
    <t>실수령액 변동 모니터링
성과급 정산 정확성 확인</t>
  </si>
  <si>
    <t>분기별 리뷰</t>
  </si>
  <si>
    <t>연간 종합 점검</t>
  </si>
  <si>
    <t>연말정산 결과 분석
다음연도 절세 전략 업데이트</t>
  </si>
  <si>
    <t>⚠</t>
  </si>
  <si>
    <t>네트제 → 그로스제 전환 시뮬레이션 &amp; 절세 전략 설계 도구</t>
    <phoneticPr fontId="11" type="noConversion"/>
  </si>
  <si>
    <t>USP COMPANY  |  병원 경영 원스톱 코디네이션</t>
    <phoneticPr fontId="11" type="noConversion"/>
  </si>
  <si>
    <t>① 네트제 vs 그로스제 비교 분석</t>
  </si>
  <si>
    <t>② 전환 시뮬레이션 (자동 계산)</t>
  </si>
  <si>
    <t>③ 3-Tier 보상 체계 설계</t>
  </si>
  <si>
    <r>
      <rPr>
        <b/>
        <sz val="13"/>
        <color rgb="FF333333"/>
        <rFont val="Segoe UI Emoji"/>
        <family val="2"/>
      </rPr>
      <t>💡</t>
    </r>
    <r>
      <rPr>
        <b/>
        <sz val="13"/>
        <color rgb="FF333333"/>
        <rFont val="Pretendard"/>
        <family val="3"/>
        <charset val="129"/>
      </rPr>
      <t xml:space="preserve"> 우리 병원 맞춤 시뮬레이션이 필요하시다면?</t>
    </r>
    <phoneticPr fontId="11" type="noConversion"/>
  </si>
  <si>
    <t>유에스피 컴퍼니 무료 진단 상담 신청  →  상담 링크 클릭</t>
    <phoneticPr fontId="11" type="noConversion"/>
  </si>
  <si>
    <t xml:space="preserve">    두 급여 체계의 개념·장단점을 한눈에 비교합니다</t>
  </si>
  <si>
    <t xml:space="preserve">    기본급 + 성과급 + 비과세 복지의 최적 비율을 설계합니다</t>
  </si>
  <si>
    <t>📊  네트제 vs 그로스제  핵심 비교</t>
  </si>
  <si>
    <t>네트제 (세후 보장)</t>
  </si>
  <si>
    <t>그로스제 (세전 확정)</t>
  </si>
  <si>
    <t>세후 실수령액을 병원이 보장
→ 세금·4대보험 병원 대납</t>
  </si>
  <si>
    <t>세전 총액 확정 후
→ 세금·4대보험 본인 납부</t>
  </si>
  <si>
    <t>급여 + 세금 대납분 + 4대보험
= 숨겨진 추가 비용 발생</t>
  </si>
  <si>
    <t>급여 + 병원분 4대보험만 부담
= 비용 투명화</t>
  </si>
  <si>
    <t>세금을 병원이 대납하므로
→ 소득·세액공제 활용 불가</t>
  </si>
  <si>
    <t>본인이 세금 납부하므로
→ 연간 900~1,800만원 절세 가능</t>
  </si>
  <si>
    <t>세전 급여 명확
→ DC형 설계로 리스크 관리 용이</t>
  </si>
  <si>
    <t>❌ 병원·페이닥터 모두 손해</t>
  </si>
  <si>
    <t>✅ 병원·페이닥터 모두 이득</t>
  </si>
  <si>
    <t>⚠️  네트제의 3대 함정</t>
  </si>
  <si>
    <t>1. 숨겨진 비용 폭탄</t>
  </si>
  <si>
    <t>2. 성과·보상 단절</t>
  </si>
  <si>
    <t>3. 절세 기회 차단</t>
  </si>
  <si>
    <t>세금을 병원이 대납 → 개인 소득공제·세액공제 활용 불가
연간 수천만원의 절세 기회 상실
페이닥터 자산 형성 기회 박탈</t>
  </si>
  <si>
    <t>월 네트 2,400만원 보장 시 → 병원 추가 부담 월 약 790만원
페이닥터 3인 기준 → 연간 약 2.4억원 세금 대납 비용 발생
급여대장에 잘 드러나지 않는 '보이지 않는 출혈'</t>
    <phoneticPr fontId="11" type="noConversion"/>
  </si>
  <si>
    <t>실수령 고정 구조 → 
매출을 아무리 올려도 보상 동일 동기부여가 작동하지 않는 구조
우수 페이닥터의 이탈 리스크 증가</t>
    <phoneticPr fontId="11" type="noConversion"/>
  </si>
  <si>
    <t>페이닥터 월 네트 실수령액 (만원)</t>
  </si>
  <si>
    <t>페이닥터 인원수 (명)</t>
  </si>
  <si>
    <t>적용 소득세율 (%)</t>
  </si>
  <si>
    <t>주민세율 (소득세의 %)</t>
  </si>
  <si>
    <t>4대보험 근로자 부담률 (%)</t>
  </si>
  <si>
    <t>월 네트 실수령액 (만원)</t>
  </si>
  <si>
    <t>역산 세전 급여 (만원)</t>
  </si>
  <si>
    <t>소득세 (만원)</t>
  </si>
  <si>
    <t>주민세 (만원)</t>
  </si>
  <si>
    <t>4대보험 근로자분 (만원)</t>
  </si>
  <si>
    <t>병원 세금 대납 총액/월 (만원)</t>
  </si>
  <si>
    <t>병원 실제 총 부담/월·1인 (만원)</t>
  </si>
  <si>
    <t>그로스 기본급 설계 (만원)</t>
  </si>
  <si>
    <t>병원 부담 (급여+사업주4대보험)</t>
  </si>
  <si>
    <t>병원 월 절감액/1인 (만원)</t>
  </si>
  <si>
    <t>병원 연간 절감액/1인 (만원)</t>
  </si>
  <si>
    <t>병원 연간 총 절감액 (만원)</t>
  </si>
  <si>
    <t>페이닥터 연간 절세 가능액 (만원)</t>
  </si>
  <si>
    <t>소득·세액공제 활용 시</t>
  </si>
  <si>
    <t>사업주 4대보험만 추가</t>
  </si>
  <si>
    <t>→ 0원 (그로스제이므로)</t>
  </si>
  <si>
    <t>네트÷(1-세율-보험료율)</t>
  </si>
  <si>
    <t>소득세의 10%</t>
  </si>
  <si>
    <t>세전급여+사업주4대보험</t>
  </si>
  <si>
    <t>🏗️  3-Tier 성과 연동형 보상 체계 설계</t>
  </si>
  <si>
    <t>📊  Tier 2 성과급 KPI 설정 가이드</t>
  </si>
  <si>
    <t>💰  설계 예시: 월 총 보수 3,500만원 (그로스) 기준</t>
  </si>
  <si>
    <t>Tier 2  |  성과급</t>
    <phoneticPr fontId="11" type="noConversion"/>
  </si>
  <si>
    <t>Tier 1  |  기본급</t>
    <phoneticPr fontId="11" type="noConversion"/>
  </si>
  <si>
    <t>총 보수의 60~70%</t>
  </si>
  <si>
    <t>총 보수의 25~35%</t>
  </si>
  <si>
    <t>Tier 3  |  비과세 복지</t>
  </si>
  <si>
    <t>Tier 1 기본급</t>
  </si>
  <si>
    <t>Tier 2 성과급</t>
  </si>
  <si>
    <t>Tier 3 비과세복지</t>
  </si>
  <si>
    <t>고정 지급 (매월 동일)</t>
  </si>
  <si>
    <t>KPI 달성률에 따라 변동 (cap 150%)</t>
  </si>
  <si>
    <t>개인 진료 매출 / 전체 매출</t>
  </si>
  <si>
    <t>사내근로복지기금 활용
비과세 항목 극대화
실수령 보전 + 절세 효과</t>
  </si>
  <si>
    <t>매출 기여도 연동
KPI 기반 성과 평가
상한선 150% cap 설정</t>
  </si>
  <si>
    <t>그로스 기준 고정급
4대보험·소득세 정상 원천징수
전액 손금 처리 가능</t>
  </si>
  <si>
    <t>KPI 항목</t>
  </si>
  <si>
    <t>금액 (만원)</t>
  </si>
  <si>
    <t>적용 여부
(체크)</t>
  </si>
  <si>
    <t>무주택 근로자 대상 주택 구입·전세자금 대부
복지기금에서 저리 또는 무이자 대출</t>
  </si>
  <si>
    <t>근로자 본인 및 자녀 학자금 지원
비과세 요건: 사내근로복지기금에서 지급</t>
  </si>
  <si>
    <t>비과세
(한도 확인 필요)</t>
  </si>
  <si>
    <t>결혼·출산·사망 등 경조사 시 지급
사회통념상 타당한 범위 내</t>
  </si>
  <si>
    <t>재난·재해 피해 근로자 지원금
천재지변, 화재 등</t>
  </si>
  <si>
    <t>근로자 생활안정을 위한 대부
의료비·긴급생활자금 등</t>
  </si>
  <si>
    <t>기숙사·체력단련시설·휴게실 등
시설 운영 관련 비용</t>
  </si>
  <si>
    <t>연 400만원 한도
비과세</t>
  </si>
  <si>
    <t>월 20만원 이내 식대
별도 비과세 항목</t>
  </si>
  <si>
    <t>월 20만원</t>
  </si>
  <si>
    <t>💡 핵심: "적법하게" 설계하면 방패, 잘못 운영하면 폭탄. 반드시 전문가와 함께 설계하세요.</t>
  </si>
  <si>
    <t>⚠ 비과세 요건 충족 항목만 정확히 분류하고, 증빙 기반으로 운영해야 합니다. 
     구조 없이 운영 시 세무 리스크!</t>
    <phoneticPr fontId="11" type="noConversion"/>
  </si>
  <si>
    <t>연간 최소 절세액
(만원)</t>
  </si>
  <si>
    <t>연간 최대 절세액
(만원)</t>
  </si>
  <si>
    <t>연금저축 + IRP 세액공제</t>
  </si>
  <si>
    <t>합계 (연간 절세 효과)</t>
  </si>
  <si>
    <t>페이닥터 1인 기준</t>
  </si>
  <si>
    <t>3천만원 이하 100% 공제
5천만원 이하 70% 공제</t>
  </si>
  <si>
    <t>지정기부금·법정기부금
세액공제 활용</t>
  </si>
  <si>
    <t>보장성보험료
연 100만원 한도</t>
  </si>
  <si>
    <t>본인·자녀 교육비
세액공제 활용</t>
  </si>
  <si>
    <t>연금저축 600만
+IRP 300만
총 900만원 한도</t>
    <phoneticPr fontId="11" type="noConversion"/>
  </si>
  <si>
    <t>우리 병원
(그로스제 전환)</t>
  </si>
  <si>
    <t>단순 급여 인상으로 연봉 경쟁
→ 병원 비용만 증가, 구조적 차별화 불가</t>
  </si>
  <si>
    <t>급여 구조 최적화 + 성과급 동기부여
+ 비과세 복지 실수령 보전 + 절세 설계 자산 보호
→ '커리어와 자산을 함께 설계해주는 병원'</t>
  </si>
  <si>
    <t>그로스제 전환 후 활용 가능한 절세 전략 (병원 부담 0원, 순수 개인 실익)</t>
  </si>
  <si>
    <t>세부 내용 / 주의사항</t>
  </si>
  <si>
    <t>KPI 항목 및 비율 설정
성과급 상한선 (cap 150%) 명문화</t>
  </si>
  <si>
    <t>사내근로복지기금 설립/활용 검토
비과세 항목 선별 및 요건 확인</t>
  </si>
  <si>
    <t>페이닥터별 개별 합의서 작성·서명
급여 구조 변경 내용 상세 기재</t>
  </si>
  <si>
    <t>계약 만료 시점에 맞춰 1인씩 순차 전환
일괄 전환 지양 → 리스크 최소화</t>
  </si>
  <si>
    <t>급여대장·원천징수 시스템 그로스 기준 변경
4대보험 신고 내역 정비</t>
  </si>
  <si>
    <t>페이닥터 개인별 절세 전략 수립
연금저축·IRP·벤처투자 등 안내</t>
  </si>
  <si>
    <t>KPI 달성률 리뷰 및 조정
비과세 복지 운영 적정성 점검</t>
  </si>
  <si>
    <t>⚠️  반드시 주의할 3가지</t>
  </si>
  <si>
    <t>1. 퇴직금 분쟁 방지</t>
  </si>
  <si>
    <t>2. 단계적 전환 원칙</t>
  </si>
  <si>
    <t>💡 유에스피 컴퍼니는 인사·노무·세무·재무·법무를 원스톱으로 코디네이션합니다.
"우리 병원은 어떻게 적용할 수 있을까?" → 무료 진단 상담을 신청해 주세요.</t>
  </si>
  <si>
    <t>3. 통합 
코디네이션</t>
    <phoneticPr fontId="11" type="noConversion"/>
  </si>
  <si>
    <t>그로스 전환 시 세전 급여 인상으로 보일 수 있음 
→ DC형 퇴직연금 유지 명문화 + 전환 합의서 필수 징구</t>
    <phoneticPr fontId="11" type="noConversion"/>
  </si>
  <si>
    <t>계약 만료 시점에 맞춰 한 분씩 순차적으로 전환. 
한꺼번에 진행 시 조직 저항 및 법적 리스크 발생 가능</t>
    <phoneticPr fontId="11" type="noConversion"/>
  </si>
  <si>
    <t>급여 구조·성과급 규정·복지기금·절세 전략 
→ 인사·노무·세무·법무가 하나의 설계도 안에서 통합 운영되어야 효과 극대화</t>
    <phoneticPr fontId="11" type="noConversion"/>
  </si>
  <si>
    <t>Copyright © 2024 USPCOMPANY. All rights reserved.</t>
    <phoneticPr fontId="11" type="noConversion"/>
  </si>
  <si>
    <r>
      <rPr>
        <b/>
        <sz val="11"/>
        <color rgb="FF1B2A4A"/>
        <rFont val="Microsoft JhengHei"/>
        <family val="2"/>
      </rPr>
      <t>▎</t>
    </r>
    <r>
      <rPr>
        <b/>
        <sz val="11"/>
        <color rgb="FF1B2A4A"/>
        <rFont val="Pretendard"/>
        <family val="3"/>
        <charset val="129"/>
      </rPr>
      <t xml:space="preserve"> 현재 네트제 비용 분석 (월간, 1인 기준)</t>
    </r>
    <phoneticPr fontId="11" type="noConversion"/>
  </si>
  <si>
    <r>
      <rPr>
        <b/>
        <sz val="11"/>
        <color rgb="FF1B2A4A"/>
        <rFont val="Microsoft JhengHei"/>
        <family val="2"/>
      </rPr>
      <t>▎</t>
    </r>
    <r>
      <rPr>
        <b/>
        <sz val="11"/>
        <color rgb="FF1B2A4A"/>
        <rFont val="Pretendard"/>
        <family val="3"/>
        <charset val="129"/>
      </rPr>
      <t xml:space="preserve"> 그로스제 전환 후 비용 분석 (월간, 1인 기준)</t>
    </r>
    <phoneticPr fontId="11" type="noConversion"/>
  </si>
  <si>
    <r>
      <rPr>
        <b/>
        <sz val="11"/>
        <color rgb="FF27AE60"/>
        <rFont val="Microsoft JhengHei"/>
        <family val="2"/>
      </rPr>
      <t>▎</t>
    </r>
    <r>
      <rPr>
        <b/>
        <sz val="11"/>
        <color rgb="FF27AE60"/>
        <rFont val="Pretendard"/>
        <family val="3"/>
        <charset val="129"/>
      </rPr>
      <t xml:space="preserve"> 전환 효과 요약</t>
    </r>
    <phoneticPr fontId="11" type="noConversion"/>
  </si>
  <si>
    <r>
      <rPr>
        <b/>
        <sz val="11"/>
        <color rgb="FF1B2A4A"/>
        <rFont val="Microsoft JhengHei"/>
        <family val="2"/>
      </rPr>
      <t>▎</t>
    </r>
    <r>
      <rPr>
        <b/>
        <sz val="11"/>
        <color rgb="FF1B2A4A"/>
        <rFont val="Pretendard"/>
        <family val="3"/>
        <charset val="129"/>
      </rPr>
      <t xml:space="preserve"> 입력 항목</t>
    </r>
    <phoneticPr fontId="11" type="noConversion"/>
  </si>
  <si>
    <t>네트제 현황 파악: 
실수령액, 세금 대납액, 총 비용 산출</t>
    <phoneticPr fontId="11" type="noConversion"/>
  </si>
  <si>
    <t>근로기준법·세법 기준 전환 적법성 
확인, 노무사·세무사 자문 필수</t>
    <phoneticPr fontId="11" type="noConversion"/>
  </si>
  <si>
    <t>그로스 기준 기본급 산정 
(총보수 60~70%)
기존 실수령과 동등 이상 보장</t>
    <phoneticPr fontId="11" type="noConversion"/>
  </si>
  <si>
    <t>DC형 퇴직연금 유지 명문화
전환 합의서 작성 
(퇴직금 산정 기준 명시)</t>
    <phoneticPr fontId="11" type="noConversion"/>
  </si>
  <si>
    <r>
      <rPr>
        <i/>
        <sz val="9"/>
        <color rgb="FFE74C3C"/>
        <rFont val="맑은 고딕"/>
        <family val="3"/>
        <charset val="129"/>
      </rPr>
      <t>※</t>
    </r>
    <r>
      <rPr>
        <i/>
        <sz val="9"/>
        <color rgb="FFE74C3C"/>
        <rFont val="Arial"/>
        <family val="2"/>
      </rPr>
      <t xml:space="preserve"> </t>
    </r>
    <r>
      <rPr>
        <i/>
        <sz val="9"/>
        <color rgb="FFE74C3C"/>
        <rFont val="맑은 고딕"/>
        <family val="3"/>
        <charset val="129"/>
      </rPr>
      <t>본</t>
    </r>
    <r>
      <rPr>
        <i/>
        <sz val="9"/>
        <color rgb="FFE74C3C"/>
        <rFont val="Arial"/>
        <family val="2"/>
      </rPr>
      <t xml:space="preserve"> </t>
    </r>
    <r>
      <rPr>
        <i/>
        <sz val="9"/>
        <color rgb="FFE74C3C"/>
        <rFont val="맑은 고딕"/>
        <family val="3"/>
        <charset val="129"/>
      </rPr>
      <t>시뮬레이션은</t>
    </r>
    <r>
      <rPr>
        <i/>
        <sz val="9"/>
        <color rgb="FFE74C3C"/>
        <rFont val="Arial"/>
        <family val="2"/>
      </rPr>
      <t xml:space="preserve"> </t>
    </r>
    <r>
      <rPr>
        <i/>
        <sz val="9"/>
        <color rgb="FFE74C3C"/>
        <rFont val="맑은 고딕"/>
        <family val="3"/>
        <charset val="129"/>
      </rPr>
      <t>간이</t>
    </r>
    <r>
      <rPr>
        <i/>
        <sz val="9"/>
        <color rgb="FFE74C3C"/>
        <rFont val="Arial"/>
        <family val="2"/>
      </rPr>
      <t xml:space="preserve"> </t>
    </r>
    <r>
      <rPr>
        <i/>
        <sz val="9"/>
        <color rgb="FFE74C3C"/>
        <rFont val="맑은 고딕"/>
        <family val="3"/>
        <charset val="129"/>
      </rPr>
      <t>추정치이며, 실제</t>
    </r>
    <r>
      <rPr>
        <i/>
        <sz val="9"/>
        <color rgb="FFE74C3C"/>
        <rFont val="Arial"/>
        <family val="2"/>
      </rPr>
      <t xml:space="preserve"> </t>
    </r>
    <r>
      <rPr>
        <i/>
        <sz val="9"/>
        <color rgb="FFE74C3C"/>
        <rFont val="맑은 고딕"/>
        <family val="3"/>
        <charset val="129"/>
      </rPr>
      <t>적용</t>
    </r>
    <r>
      <rPr>
        <i/>
        <sz val="9"/>
        <color rgb="FFE74C3C"/>
        <rFont val="Arial"/>
        <family val="2"/>
      </rPr>
      <t xml:space="preserve"> </t>
    </r>
    <r>
      <rPr>
        <i/>
        <sz val="9"/>
        <color rgb="FFE74C3C"/>
        <rFont val="맑은 고딕"/>
        <family val="3"/>
        <charset val="129"/>
      </rPr>
      <t>시</t>
    </r>
    <r>
      <rPr>
        <i/>
        <sz val="9"/>
        <color rgb="FFE74C3C"/>
        <rFont val="Arial"/>
        <family val="2"/>
      </rPr>
      <t xml:space="preserve"> </t>
    </r>
    <r>
      <rPr>
        <i/>
        <sz val="9"/>
        <color rgb="FFE74C3C"/>
        <rFont val="맑은 고딕"/>
        <family val="3"/>
        <charset val="129"/>
      </rPr>
      <t>정밀</t>
    </r>
    <r>
      <rPr>
        <i/>
        <sz val="9"/>
        <color rgb="FFE74C3C"/>
        <rFont val="Arial"/>
        <family val="2"/>
      </rPr>
      <t xml:space="preserve"> </t>
    </r>
    <r>
      <rPr>
        <i/>
        <sz val="9"/>
        <color rgb="FFE74C3C"/>
        <rFont val="맑은 고딕"/>
        <family val="3"/>
        <charset val="129"/>
      </rPr>
      <t>설계가</t>
    </r>
    <r>
      <rPr>
        <i/>
        <sz val="9"/>
        <color rgb="FFE74C3C"/>
        <rFont val="Arial"/>
        <family val="2"/>
      </rPr>
      <t xml:space="preserve"> </t>
    </r>
    <r>
      <rPr>
        <i/>
        <sz val="9"/>
        <color rgb="FFE74C3C"/>
        <rFont val="맑은 고딕"/>
        <family val="3"/>
        <charset val="129"/>
      </rPr>
      <t>필요합니다. 
   유에스피</t>
    </r>
    <r>
      <rPr>
        <i/>
        <sz val="9"/>
        <color rgb="FFE74C3C"/>
        <rFont val="Arial"/>
        <family val="2"/>
      </rPr>
      <t xml:space="preserve"> </t>
    </r>
    <r>
      <rPr>
        <i/>
        <sz val="9"/>
        <color rgb="FFE74C3C"/>
        <rFont val="맑은 고딕"/>
        <family val="3"/>
        <charset val="129"/>
      </rPr>
      <t>컴퍼니</t>
    </r>
    <r>
      <rPr>
        <i/>
        <sz val="9"/>
        <color rgb="FFE74C3C"/>
        <rFont val="Arial"/>
        <family val="2"/>
      </rPr>
      <t xml:space="preserve"> </t>
    </r>
    <r>
      <rPr>
        <i/>
        <sz val="9"/>
        <color rgb="FFE74C3C"/>
        <rFont val="맑은 고딕"/>
        <family val="3"/>
        <charset val="129"/>
      </rPr>
      <t>무료</t>
    </r>
    <r>
      <rPr>
        <i/>
        <sz val="9"/>
        <color rgb="FFE74C3C"/>
        <rFont val="Arial"/>
        <family val="2"/>
      </rPr>
      <t xml:space="preserve"> </t>
    </r>
    <r>
      <rPr>
        <i/>
        <sz val="9"/>
        <color rgb="FFE74C3C"/>
        <rFont val="맑은 고딕"/>
        <family val="3"/>
        <charset val="129"/>
      </rPr>
      <t>상담을</t>
    </r>
    <r>
      <rPr>
        <i/>
        <sz val="9"/>
        <color rgb="FFE74C3C"/>
        <rFont val="Arial"/>
        <family val="2"/>
      </rPr>
      <t xml:space="preserve"> </t>
    </r>
    <r>
      <rPr>
        <i/>
        <sz val="9"/>
        <color rgb="FFE74C3C"/>
        <rFont val="맑은 고딕"/>
        <family val="3"/>
        <charset val="129"/>
      </rPr>
      <t>통해</t>
    </r>
    <r>
      <rPr>
        <i/>
        <sz val="9"/>
        <color rgb="FFE74C3C"/>
        <rFont val="Arial"/>
        <family val="2"/>
      </rPr>
      <t xml:space="preserve"> </t>
    </r>
    <r>
      <rPr>
        <i/>
        <sz val="9"/>
        <color rgb="FFE74C3C"/>
        <rFont val="맑은 고딕"/>
        <family val="3"/>
        <charset val="129"/>
      </rPr>
      <t>병원별</t>
    </r>
    <r>
      <rPr>
        <i/>
        <sz val="9"/>
        <color rgb="FFE74C3C"/>
        <rFont val="Arial"/>
        <family val="2"/>
      </rPr>
      <t xml:space="preserve"> </t>
    </r>
    <r>
      <rPr>
        <i/>
        <sz val="9"/>
        <color rgb="FFE74C3C"/>
        <rFont val="맑은 고딕"/>
        <family val="3"/>
        <charset val="129"/>
      </rPr>
      <t>맞춤</t>
    </r>
    <r>
      <rPr>
        <i/>
        <sz val="9"/>
        <color rgb="FFE74C3C"/>
        <rFont val="Arial"/>
        <family val="2"/>
      </rPr>
      <t xml:space="preserve"> </t>
    </r>
    <r>
      <rPr>
        <i/>
        <sz val="9"/>
        <color rgb="FFE74C3C"/>
        <rFont val="맑은 고딕"/>
        <family val="3"/>
        <charset val="129"/>
      </rPr>
      <t>시뮬레이션을</t>
    </r>
    <r>
      <rPr>
        <i/>
        <sz val="9"/>
        <color rgb="FFE74C3C"/>
        <rFont val="Arial"/>
        <family val="2"/>
      </rPr>
      <t xml:space="preserve"> </t>
    </r>
    <r>
      <rPr>
        <i/>
        <sz val="9"/>
        <color rgb="FFE74C3C"/>
        <rFont val="맑은 고딕"/>
        <family val="3"/>
        <charset val="129"/>
      </rPr>
      <t>받아보세요.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</si>
</sst>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1">
    <font>
      <sz val="11"/>
      <color theme="1"/>
      <name val="Calibri"/>
      <family val="2"/>
      <charset val="1"/>
    </font>
    <font>
      <sz val="13"/>
      <color rgb="FFB0C4DE"/>
      <name val="Noto Sans CJK SC"/>
      <family val="2"/>
    </font>
    <font>
      <sz val="10"/>
      <color rgb="FF7B8DB0"/>
      <name val="맑은 고딕"/>
      <family val="3"/>
      <charset val="129"/>
    </font>
    <font>
      <b/>
      <sz val="13"/>
      <color rgb="FF333333"/>
      <name val="Noto Sans CJK SC"/>
      <family val="2"/>
    </font>
    <font>
      <b/>
      <sz val="11"/>
      <color rgb="FF3A7BD5"/>
      <name val="Noto Sans CJK SC"/>
      <family val="2"/>
    </font>
    <font>
      <sz val="9"/>
      <color rgb="FF666666"/>
      <name val="맑은 고딕"/>
      <family val="3"/>
      <charset val="129"/>
    </font>
    <font>
      <sz val="9"/>
      <color rgb="FF666666"/>
      <name val="Noto Sans CJK SC"/>
      <family val="2"/>
    </font>
    <font>
      <sz val="11"/>
      <color rgb="FF333333"/>
      <name val="맑은 고딕"/>
      <family val="3"/>
      <charset val="129"/>
    </font>
    <font>
      <b/>
      <sz val="11"/>
      <color rgb="FF333333"/>
      <name val="맑은 고딕"/>
      <family val="3"/>
      <charset val="129"/>
    </font>
    <font>
      <i/>
      <sz val="9"/>
      <color rgb="FFE74C3C"/>
      <name val="Noto Sans CJK SC"/>
      <family val="2"/>
    </font>
    <font>
      <i/>
      <sz val="9"/>
      <color rgb="FFE74C3C"/>
      <name val="맑은 고딕"/>
      <family val="3"/>
      <charset val="129"/>
    </font>
    <font>
      <sz val="8"/>
      <name val="돋움"/>
      <family val="3"/>
      <charset val="129"/>
    </font>
    <font>
      <b/>
      <sz val="20"/>
      <color rgb="FFFFFFFF"/>
      <name val="Pretendard Black"/>
      <family val="3"/>
      <charset val="129"/>
    </font>
    <font>
      <sz val="13"/>
      <color rgb="FFB0C4DE"/>
      <name val="Pretendard"/>
      <family val="3"/>
      <charset val="129"/>
    </font>
    <font>
      <sz val="10"/>
      <color rgb="FF7B8DB0"/>
      <name val="Pretendard"/>
      <family val="3"/>
      <charset val="129"/>
    </font>
    <font>
      <b/>
      <sz val="14"/>
      <color rgb="FF1B2A4A"/>
      <name val="Pretendard"/>
      <family val="3"/>
      <charset val="129"/>
    </font>
    <font>
      <b/>
      <sz val="12"/>
      <color rgb="FF2C3E6B"/>
      <name val="Pretendard"/>
      <family val="3"/>
      <charset val="129"/>
    </font>
    <font>
      <b/>
      <sz val="13"/>
      <color rgb="FF333333"/>
      <name val="Segoe UI Emoji"/>
      <family val="2"/>
    </font>
    <font>
      <b/>
      <sz val="13"/>
      <color rgb="FF333333"/>
      <name val="Pretendard"/>
      <family val="3"/>
      <charset val="129"/>
    </font>
    <font>
      <b/>
      <sz val="11"/>
      <color rgb="FF3A7BD5"/>
      <name val="Pretendard SemiBold"/>
      <family val="3"/>
      <charset val="129"/>
    </font>
    <font>
      <sz val="10"/>
      <color rgb="FF666666"/>
      <name val="Pretendard SemiBold"/>
      <family val="3"/>
      <charset val="129"/>
    </font>
    <font>
      <b/>
      <sz val="11"/>
      <color rgb="FFFFFFFF"/>
      <name val="Pretendard"/>
      <family val="3"/>
      <charset val="129"/>
    </font>
    <font>
      <b/>
      <sz val="11"/>
      <color rgb="FF333333"/>
      <name val="Pretendard"/>
      <family val="3"/>
      <charset val="129"/>
    </font>
    <font>
      <sz val="11"/>
      <color rgb="FF333333"/>
      <name val="Pretendard SemiBold"/>
      <family val="3"/>
      <charset val="129"/>
    </font>
    <font>
      <b/>
      <sz val="11"/>
      <color rgb="FFE74C3C"/>
      <name val="Pretendard"/>
      <family val="3"/>
      <charset val="129"/>
    </font>
    <font>
      <b/>
      <sz val="11"/>
      <color rgb="FF1B2A4A"/>
      <name val="Pretendard"/>
      <family val="3"/>
      <charset val="129"/>
    </font>
    <font>
      <sz val="11"/>
      <color rgb="FF333333"/>
      <name val="Pretendard"/>
      <family val="3"/>
      <charset val="129"/>
    </font>
    <font>
      <b/>
      <sz val="14"/>
      <color rgb="FF27AE60"/>
      <name val="Pretendard"/>
      <family val="3"/>
      <charset val="129"/>
    </font>
    <font>
      <b/>
      <sz val="12"/>
      <color rgb="FF333333"/>
      <name val="Pretendard"/>
      <family val="3"/>
      <charset val="129"/>
    </font>
    <font>
      <b/>
      <sz val="13"/>
      <color rgb="FF27AE60"/>
      <name val="Pretendard SemiBold"/>
      <family val="3"/>
      <charset val="129"/>
    </font>
    <font>
      <sz val="9"/>
      <color rgb="FF666666"/>
      <name val="Pretendard SemiBold"/>
      <family val="3"/>
      <charset val="129"/>
    </font>
    <font>
      <b/>
      <sz val="11"/>
      <color rgb="FF333333"/>
      <name val="Pretendard SemiBold"/>
      <family val="3"/>
      <charset val="129"/>
    </font>
    <font>
      <b/>
      <sz val="11"/>
      <color rgb="FF0000FF"/>
      <name val="Pretendard SemiBold"/>
      <family val="3"/>
      <charset val="129"/>
    </font>
    <font>
      <b/>
      <sz val="12"/>
      <color rgb="FF1B2A4A"/>
      <name val="Pretendard SemiBold"/>
      <family val="3"/>
      <charset val="129"/>
    </font>
    <font>
      <b/>
      <sz val="12"/>
      <color rgb="FF1B2A4A"/>
      <name val="Pretendard"/>
      <family val="3"/>
      <charset val="129"/>
    </font>
    <font>
      <b/>
      <sz val="14"/>
      <color rgb="FF333333"/>
      <name val="Pretendard"/>
      <family val="3"/>
      <charset val="129"/>
    </font>
    <font>
      <b/>
      <sz val="11"/>
      <color rgb="FFE74C3C"/>
      <name val="Pretendard SemiBold"/>
      <family val="3"/>
      <charset val="129"/>
    </font>
    <font>
      <sz val="16"/>
      <color rgb="FF3A7BD5"/>
      <name val="Pretendard SemiBold"/>
      <family val="3"/>
      <charset val="129"/>
    </font>
    <font>
      <b/>
      <sz val="11"/>
      <color rgb="FF1B2A4A"/>
      <name val="Pretendard SemiBold"/>
      <family val="3"/>
      <charset val="129"/>
    </font>
    <font>
      <b/>
      <sz val="13"/>
      <color rgb="FF1B2A4A"/>
      <name val="Pretendard"/>
      <family val="3"/>
      <charset val="129"/>
    </font>
    <font>
      <i/>
      <sz val="10"/>
      <color rgb="FF3A7BD5"/>
      <name val="Pretendard SemiBold"/>
      <family val="3"/>
      <charset val="129"/>
    </font>
    <font>
      <sz val="14"/>
      <color rgb="FFE74C3C"/>
      <name val="Pretendard"/>
      <family val="3"/>
      <charset val="129"/>
    </font>
    <font>
      <sz val="9"/>
      <color theme="1"/>
      <name val="Calibri"/>
      <family val="2"/>
    </font>
    <font>
      <b/>
      <sz val="11"/>
      <color rgb="FF1B2A4A"/>
      <name val="Microsoft JhengHei"/>
      <family val="2"/>
    </font>
    <font>
      <b/>
      <sz val="11"/>
      <color rgb="FF1B2A4A"/>
      <name val="Pretendard"/>
      <family val="2"/>
      <charset val="129"/>
    </font>
    <font>
      <b/>
      <sz val="11"/>
      <color rgb="FF27AE60"/>
      <name val="Pretendard"/>
      <family val="2"/>
      <charset val="129"/>
    </font>
    <font>
      <b/>
      <sz val="11"/>
      <color rgb="FF27AE60"/>
      <name val="Microsoft JhengHei"/>
      <family val="2"/>
    </font>
    <font>
      <b/>
      <sz val="11"/>
      <color rgb="FF27AE60"/>
      <name val="Pretendard"/>
      <family val="3"/>
      <charset val="129"/>
    </font>
    <font>
      <i/>
      <sz val="9"/>
      <color rgb="FFE74C3C"/>
      <name val="Arial"/>
      <family val="2"/>
    </font>
    <font>
      <i/>
      <sz val="9"/>
      <color rgb="FFE74C3C"/>
      <name val="Noto Sans CJK SC"/>
      <family val="3"/>
      <charset val="129"/>
    </font>
    <font>
      <i/>
      <sz val="11"/>
      <color rgb="FF3A7BD5"/>
      <name val="Pretendard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EF5E7"/>
      </patternFill>
    </fill>
    <fill>
      <patternFill patternType="solid">
        <fgColor rgb="FF1B2A4A"/>
        <bgColor rgb="FF333333"/>
      </patternFill>
    </fill>
    <fill>
      <patternFill patternType="solid">
        <fgColor rgb="FFEBF1F8"/>
        <bgColor rgb="FFE8F0FE"/>
      </patternFill>
    </fill>
    <fill>
      <patternFill patternType="solid">
        <fgColor rgb="FFFFF8E1"/>
        <bgColor rgb="FFFEF5E7"/>
      </patternFill>
    </fill>
    <fill>
      <patternFill patternType="solid">
        <fgColor rgb="FFD6E4F0"/>
        <bgColor rgb="FFE3F2FD"/>
      </patternFill>
    </fill>
    <fill>
      <patternFill patternType="solid">
        <fgColor rgb="FFFDEDEC"/>
        <bgColor rgb="FFFFF3E0"/>
      </patternFill>
    </fill>
    <fill>
      <patternFill patternType="solid">
        <fgColor rgb="FFE8F5E9"/>
        <bgColor rgb="FFEBF1F8"/>
      </patternFill>
    </fill>
    <fill>
      <patternFill patternType="solid">
        <fgColor rgb="FFE8F0FE"/>
        <bgColor rgb="FFEBF1F8"/>
      </patternFill>
    </fill>
    <fill>
      <patternFill patternType="solid">
        <fgColor rgb="FFFEF5E7"/>
        <bgColor rgb="FFFFF3E0"/>
      </patternFill>
    </fill>
    <fill>
      <patternFill patternType="solid">
        <fgColor rgb="FFF2F2F2"/>
        <bgColor rgb="FFEBF1F8"/>
      </patternFill>
    </fill>
    <fill>
      <patternFill patternType="solid">
        <fgColor rgb="FFE3F2FD"/>
        <bgColor rgb="FFE8F0FE"/>
      </patternFill>
    </fill>
    <fill>
      <patternFill patternType="solid">
        <fgColor rgb="FFFFF3E0"/>
        <bgColor rgb="FFFEF5E7"/>
      </patternFill>
    </fill>
    <fill>
      <patternFill patternType="solid">
        <fgColor rgb="FFF3E5F5"/>
        <bgColor rgb="FFFDEDEC"/>
      </patternFill>
    </fill>
    <fill>
      <patternFill patternType="solid">
        <fgColor rgb="FFFBF8E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3A7BD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0" fillId="2" borderId="0" xfId="0" applyFill="1"/>
    <xf numFmtId="0" fontId="0" fillId="3" borderId="0" xfId="0" applyFill="1"/>
    <xf numFmtId="0" fontId="0" fillId="5" borderId="0" xfId="0" applyFill="1"/>
    <xf numFmtId="0" fontId="8" fillId="2" borderId="2" xfId="0" applyFont="1" applyFill="1" applyBorder="1" applyAlignment="1">
      <alignment horizontal="center" vertical="center" wrapText="1"/>
    </xf>
    <xf numFmtId="0" fontId="8" fillId="11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21" fillId="3" borderId="2" xfId="0" applyFont="1" applyFill="1" applyBorder="1" applyAlignment="1">
      <alignment horizontal="center" vertical="center" wrapText="1"/>
    </xf>
    <xf numFmtId="0" fontId="22" fillId="6" borderId="2" xfId="0" applyFont="1" applyFill="1" applyBorder="1" applyAlignment="1">
      <alignment horizontal="center" vertical="center" wrapText="1"/>
    </xf>
    <xf numFmtId="0" fontId="23" fillId="2" borderId="2" xfId="0" applyFont="1" applyFill="1" applyBorder="1" applyAlignment="1">
      <alignment horizontal="left" vertical="center" wrapText="1"/>
    </xf>
    <xf numFmtId="0" fontId="23" fillId="8" borderId="2" xfId="0" applyFont="1" applyFill="1" applyBorder="1" applyAlignment="1">
      <alignment horizontal="left" vertical="center" wrapText="1"/>
    </xf>
    <xf numFmtId="0" fontId="24" fillId="7" borderId="2" xfId="0" applyFont="1" applyFill="1" applyBorder="1" applyAlignment="1">
      <alignment horizontal="center" vertical="center" wrapText="1"/>
    </xf>
    <xf numFmtId="0" fontId="23" fillId="2" borderId="2" xfId="0" applyFont="1" applyFill="1" applyBorder="1" applyAlignment="1">
      <alignment horizontal="center" vertical="center" wrapText="1"/>
    </xf>
    <xf numFmtId="0" fontId="23" fillId="7" borderId="2" xfId="0" applyFont="1" applyFill="1" applyBorder="1" applyAlignment="1">
      <alignment horizontal="center" vertical="center" wrapText="1"/>
    </xf>
    <xf numFmtId="0" fontId="23" fillId="8" borderId="2" xfId="0" applyFont="1" applyFill="1" applyBorder="1" applyAlignment="1">
      <alignment horizontal="center" vertical="center" wrapText="1"/>
    </xf>
    <xf numFmtId="3" fontId="23" fillId="2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6" fillId="0" borderId="2" xfId="0" applyFont="1" applyBorder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5" borderId="2" xfId="0" applyFont="1" applyFill="1" applyBorder="1" applyAlignment="1">
      <alignment horizontal="center" vertical="center" wrapText="1"/>
    </xf>
    <xf numFmtId="0" fontId="26" fillId="2" borderId="2" xfId="0" applyFont="1" applyFill="1" applyBorder="1" applyAlignment="1">
      <alignment horizontal="center" vertical="center" wrapText="1"/>
    </xf>
    <xf numFmtId="0" fontId="26" fillId="11" borderId="2" xfId="0" applyFont="1" applyFill="1" applyBorder="1" applyAlignment="1">
      <alignment horizontal="center" vertical="center" wrapText="1"/>
    </xf>
    <xf numFmtId="0" fontId="22" fillId="5" borderId="2" xfId="0" applyFont="1" applyFill="1" applyBorder="1" applyAlignment="1">
      <alignment horizontal="center" vertical="center" wrapText="1"/>
    </xf>
    <xf numFmtId="3" fontId="22" fillId="5" borderId="2" xfId="0" applyNumberFormat="1" applyFont="1" applyFill="1" applyBorder="1" applyAlignment="1">
      <alignment horizontal="center" vertical="center" wrapText="1"/>
    </xf>
    <xf numFmtId="0" fontId="23" fillId="11" borderId="2" xfId="0" applyFont="1" applyFill="1" applyBorder="1" applyAlignment="1">
      <alignment horizontal="center" vertical="center" wrapText="1"/>
    </xf>
    <xf numFmtId="3" fontId="23" fillId="11" borderId="2" xfId="0" applyNumberFormat="1" applyFont="1" applyFill="1" applyBorder="1" applyAlignment="1">
      <alignment horizontal="center" vertical="center" wrapText="1"/>
    </xf>
    <xf numFmtId="0" fontId="22" fillId="2" borderId="2" xfId="0" applyFont="1" applyFill="1" applyBorder="1" applyAlignment="1">
      <alignment horizontal="center" vertical="center" wrapText="1"/>
    </xf>
    <xf numFmtId="0" fontId="26" fillId="4" borderId="2" xfId="0" applyFont="1" applyFill="1" applyBorder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37" fillId="2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left" vertical="center" wrapText="1"/>
    </xf>
    <xf numFmtId="0" fontId="23" fillId="4" borderId="2" xfId="0" applyFont="1" applyFill="1" applyBorder="1" applyAlignment="1">
      <alignment horizontal="center" vertical="center" wrapText="1"/>
    </xf>
    <xf numFmtId="0" fontId="37" fillId="4" borderId="2" xfId="0" applyFont="1" applyFill="1" applyBorder="1" applyAlignment="1">
      <alignment horizontal="center" vertical="center" wrapText="1"/>
    </xf>
    <xf numFmtId="3" fontId="27" fillId="5" borderId="2" xfId="0" applyNumberFormat="1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left" vertical="center" wrapText="1"/>
    </xf>
    <xf numFmtId="3" fontId="23" fillId="4" borderId="2" xfId="0" applyNumberFormat="1" applyFont="1" applyFill="1" applyBorder="1" applyAlignment="1">
      <alignment horizontal="center" vertical="center" wrapText="1"/>
    </xf>
    <xf numFmtId="0" fontId="30" fillId="4" borderId="2" xfId="0" applyFont="1" applyFill="1" applyBorder="1" applyAlignment="1">
      <alignment horizontal="left" vertical="center" wrapText="1"/>
    </xf>
    <xf numFmtId="0" fontId="22" fillId="7" borderId="2" xfId="0" applyFont="1" applyFill="1" applyBorder="1" applyAlignment="1">
      <alignment horizontal="center" vertical="center" wrapText="1"/>
    </xf>
    <xf numFmtId="0" fontId="22" fillId="8" borderId="2" xfId="0" applyFont="1" applyFill="1" applyBorder="1" applyAlignment="1">
      <alignment horizontal="center" vertical="center" wrapText="1"/>
    </xf>
    <xf numFmtId="0" fontId="26" fillId="12" borderId="2" xfId="0" applyFont="1" applyFill="1" applyBorder="1" applyAlignment="1">
      <alignment horizontal="center" vertical="center" wrapText="1"/>
    </xf>
    <xf numFmtId="0" fontId="22" fillId="12" borderId="2" xfId="0" applyFont="1" applyFill="1" applyBorder="1" applyAlignment="1">
      <alignment horizontal="center" vertical="center" wrapText="1"/>
    </xf>
    <xf numFmtId="0" fontId="22" fillId="12" borderId="2" xfId="0" applyFont="1" applyFill="1" applyBorder="1" applyAlignment="1">
      <alignment horizontal="left" vertical="center" wrapText="1"/>
    </xf>
    <xf numFmtId="0" fontId="26" fillId="8" borderId="2" xfId="0" applyFont="1" applyFill="1" applyBorder="1" applyAlignment="1">
      <alignment horizontal="center" vertical="center" wrapText="1"/>
    </xf>
    <xf numFmtId="0" fontId="22" fillId="8" borderId="2" xfId="0" applyFont="1" applyFill="1" applyBorder="1" applyAlignment="1">
      <alignment horizontal="left" vertical="center" wrapText="1"/>
    </xf>
    <xf numFmtId="0" fontId="26" fillId="13" borderId="2" xfId="0" applyFont="1" applyFill="1" applyBorder="1" applyAlignment="1">
      <alignment horizontal="center" vertical="center" wrapText="1"/>
    </xf>
    <xf numFmtId="0" fontId="22" fillId="13" borderId="2" xfId="0" applyFont="1" applyFill="1" applyBorder="1" applyAlignment="1">
      <alignment horizontal="center" vertical="center" wrapText="1"/>
    </xf>
    <xf numFmtId="0" fontId="22" fillId="13" borderId="2" xfId="0" applyFont="1" applyFill="1" applyBorder="1" applyAlignment="1">
      <alignment horizontal="left" vertical="center" wrapText="1"/>
    </xf>
    <xf numFmtId="0" fontId="26" fillId="14" borderId="2" xfId="0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left" vertical="center" wrapText="1"/>
    </xf>
    <xf numFmtId="0" fontId="23" fillId="12" borderId="2" xfId="0" applyFont="1" applyFill="1" applyBorder="1" applyAlignment="1">
      <alignment horizontal="left" vertical="center" wrapText="1"/>
    </xf>
    <xf numFmtId="0" fontId="37" fillId="12" borderId="2" xfId="0" applyFont="1" applyFill="1" applyBorder="1" applyAlignment="1">
      <alignment horizontal="center" vertical="center" wrapText="1"/>
    </xf>
    <xf numFmtId="0" fontId="37" fillId="8" borderId="2" xfId="0" applyFont="1" applyFill="1" applyBorder="1" applyAlignment="1">
      <alignment horizontal="center" vertical="center" wrapText="1"/>
    </xf>
    <xf numFmtId="0" fontId="23" fillId="13" borderId="2" xfId="0" applyFont="1" applyFill="1" applyBorder="1" applyAlignment="1">
      <alignment horizontal="left" vertical="center" wrapText="1"/>
    </xf>
    <xf numFmtId="0" fontId="37" fillId="13" borderId="2" xfId="0" applyFont="1" applyFill="1" applyBorder="1" applyAlignment="1">
      <alignment horizontal="center" vertical="center" wrapText="1"/>
    </xf>
    <xf numFmtId="0" fontId="23" fillId="14" borderId="2" xfId="0" applyFont="1" applyFill="1" applyBorder="1" applyAlignment="1">
      <alignment horizontal="left" vertical="center" wrapText="1"/>
    </xf>
    <xf numFmtId="0" fontId="37" fillId="14" borderId="2" xfId="0" applyFont="1" applyFill="1" applyBorder="1" applyAlignment="1">
      <alignment horizontal="center" vertical="center" wrapText="1"/>
    </xf>
    <xf numFmtId="0" fontId="41" fillId="7" borderId="2" xfId="0" applyFont="1" applyFill="1" applyBorder="1" applyAlignment="1">
      <alignment horizontal="center" vertical="center" wrapText="1"/>
    </xf>
    <xf numFmtId="0" fontId="39" fillId="5" borderId="2" xfId="0" applyFont="1" applyFill="1" applyBorder="1" applyAlignment="1">
      <alignment horizontal="center" vertical="center"/>
    </xf>
    <xf numFmtId="0" fontId="42" fillId="15" borderId="0" xfId="0" applyFont="1" applyFill="1" applyAlignment="1">
      <alignment horizontal="center" vertical="center"/>
    </xf>
    <xf numFmtId="0" fontId="20" fillId="2" borderId="0" xfId="0" applyFont="1" applyFill="1"/>
    <xf numFmtId="0" fontId="3" fillId="5" borderId="0" xfId="0" applyFont="1" applyFill="1" applyAlignment="1">
      <alignment horizontal="center" vertical="center" wrapText="1"/>
    </xf>
    <xf numFmtId="0" fontId="19" fillId="5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0" fillId="15" borderId="0" xfId="0" applyFill="1" applyAlignment="1">
      <alignment horizontal="center"/>
    </xf>
    <xf numFmtId="0" fontId="16" fillId="4" borderId="0" xfId="0" applyFont="1" applyFill="1" applyAlignment="1">
      <alignment horizontal="left" vertical="center" wrapText="1"/>
    </xf>
    <xf numFmtId="0" fontId="12" fillId="3" borderId="0" xfId="0" applyFont="1" applyFill="1" applyAlignment="1">
      <alignment horizontal="center" vertical="center" wrapText="1"/>
    </xf>
    <xf numFmtId="0" fontId="13" fillId="3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4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5" fillId="2" borderId="0" xfId="0" applyFont="1" applyFill="1"/>
    <xf numFmtId="0" fontId="15" fillId="0" borderId="1" xfId="0" applyFont="1" applyBorder="1" applyAlignment="1">
      <alignment horizontal="left" vertical="center"/>
    </xf>
    <xf numFmtId="0" fontId="23" fillId="0" borderId="2" xfId="0" applyFont="1" applyBorder="1" applyAlignment="1">
      <alignment horizontal="left" vertical="center" wrapText="1"/>
    </xf>
    <xf numFmtId="0" fontId="49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45" fillId="8" borderId="0" xfId="0" applyFont="1" applyFill="1" applyAlignment="1">
      <alignment horizontal="left" vertical="center"/>
    </xf>
    <xf numFmtId="0" fontId="47" fillId="8" borderId="0" xfId="0" applyFont="1" applyFill="1" applyAlignment="1">
      <alignment horizontal="left" vertical="center"/>
    </xf>
    <xf numFmtId="3" fontId="29" fillId="5" borderId="2" xfId="0" applyNumberFormat="1" applyFont="1" applyFill="1" applyBorder="1" applyAlignment="1">
      <alignment horizontal="center" vertical="center" wrapText="1"/>
    </xf>
    <xf numFmtId="0" fontId="29" fillId="5" borderId="2" xfId="0" applyFont="1" applyFill="1" applyBorder="1" applyAlignment="1">
      <alignment horizontal="center" vertical="center" wrapText="1"/>
    </xf>
    <xf numFmtId="3" fontId="31" fillId="10" borderId="2" xfId="0" applyNumberFormat="1" applyFont="1" applyFill="1" applyBorder="1" applyAlignment="1">
      <alignment horizontal="center" vertical="center" wrapText="1"/>
    </xf>
    <xf numFmtId="0" fontId="44" fillId="8" borderId="0" xfId="0" applyFont="1" applyFill="1" applyAlignment="1">
      <alignment horizontal="left" vertical="center"/>
    </xf>
    <xf numFmtId="0" fontId="25" fillId="8" borderId="0" xfId="0" applyFont="1" applyFill="1" applyAlignment="1">
      <alignment horizontal="left" vertical="center"/>
    </xf>
    <xf numFmtId="3" fontId="23" fillId="2" borderId="2" xfId="0" applyNumberFormat="1" applyFont="1" applyFill="1" applyBorder="1" applyAlignment="1">
      <alignment horizontal="center" vertical="center" wrapText="1"/>
    </xf>
    <xf numFmtId="0" fontId="32" fillId="9" borderId="2" xfId="0" applyFont="1" applyFill="1" applyBorder="1" applyAlignment="1">
      <alignment horizontal="center" vertical="center" wrapText="1"/>
    </xf>
    <xf numFmtId="0" fontId="44" fillId="7" borderId="0" xfId="0" applyFont="1" applyFill="1" applyAlignment="1">
      <alignment horizontal="left" vertical="center"/>
    </xf>
    <xf numFmtId="0" fontId="25" fillId="7" borderId="0" xfId="0" applyFont="1" applyFill="1" applyAlignment="1">
      <alignment horizontal="left" vertical="center"/>
    </xf>
    <xf numFmtId="0" fontId="44" fillId="6" borderId="0" xfId="0" applyFont="1" applyFill="1" applyAlignment="1">
      <alignment vertical="center"/>
    </xf>
    <xf numFmtId="0" fontId="25" fillId="6" borderId="0" xfId="0" applyFont="1" applyFill="1" applyAlignment="1">
      <alignment vertical="center"/>
    </xf>
    <xf numFmtId="0" fontId="34" fillId="5" borderId="2" xfId="0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center" vertical="center" wrapText="1"/>
    </xf>
    <xf numFmtId="0" fontId="23" fillId="5" borderId="2" xfId="0" applyFont="1" applyFill="1" applyBorder="1" applyAlignment="1">
      <alignment horizontal="left" vertical="center" wrapText="1"/>
    </xf>
    <xf numFmtId="0" fontId="33" fillId="5" borderId="2" xfId="0" applyFont="1" applyFill="1" applyBorder="1" applyAlignment="1">
      <alignment horizontal="center" vertical="center" wrapText="1"/>
    </xf>
    <xf numFmtId="0" fontId="34" fillId="6" borderId="2" xfId="0" applyFont="1" applyFill="1" applyBorder="1" applyAlignment="1">
      <alignment horizontal="center" vertical="center" wrapText="1"/>
    </xf>
    <xf numFmtId="0" fontId="35" fillId="6" borderId="2" xfId="0" applyFont="1" applyFill="1" applyBorder="1" applyAlignment="1">
      <alignment horizontal="center" vertical="center" wrapText="1"/>
    </xf>
    <xf numFmtId="0" fontId="23" fillId="6" borderId="2" xfId="0" applyFont="1" applyFill="1" applyBorder="1" applyAlignment="1">
      <alignment horizontal="left" vertical="center" wrapText="1"/>
    </xf>
    <xf numFmtId="0" fontId="33" fillId="6" borderId="2" xfId="0" applyFont="1" applyFill="1" applyBorder="1" applyAlignment="1">
      <alignment horizontal="center" vertical="center" wrapText="1"/>
    </xf>
    <xf numFmtId="0" fontId="34" fillId="8" borderId="2" xfId="0" applyFont="1" applyFill="1" applyBorder="1" applyAlignment="1">
      <alignment horizontal="center" vertical="center" wrapText="1"/>
    </xf>
    <xf numFmtId="0" fontId="35" fillId="8" borderId="2" xfId="0" applyFont="1" applyFill="1" applyBorder="1" applyAlignment="1">
      <alignment horizontal="center" vertical="center" wrapText="1"/>
    </xf>
    <xf numFmtId="0" fontId="23" fillId="8" borderId="2" xfId="0" applyFont="1" applyFill="1" applyBorder="1" applyAlignment="1">
      <alignment horizontal="left" vertical="center" wrapText="1"/>
    </xf>
    <xf numFmtId="0" fontId="33" fillId="8" borderId="2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left" vertical="center" wrapText="1"/>
    </xf>
    <xf numFmtId="0" fontId="38" fillId="5" borderId="0" xfId="0" applyFont="1" applyFill="1" applyAlignment="1">
      <alignment horizontal="center" vertical="center" wrapText="1"/>
    </xf>
    <xf numFmtId="0" fontId="40" fillId="0" borderId="0" xfId="0" applyFont="1"/>
    <xf numFmtId="0" fontId="39" fillId="0" borderId="0" xfId="0" applyFont="1"/>
    <xf numFmtId="0" fontId="23" fillId="7" borderId="2" xfId="0" applyFont="1" applyFill="1" applyBorder="1" applyAlignment="1">
      <alignment horizontal="left" vertical="center" wrapText="1"/>
    </xf>
    <xf numFmtId="0" fontId="33" fillId="5" borderId="0" xfId="0" applyFont="1" applyFill="1" applyAlignment="1">
      <alignment horizontal="center" vertical="center" wrapText="1"/>
    </xf>
    <xf numFmtId="0" fontId="50" fillId="0" borderId="0" xfId="0" applyFont="1" applyAlignment="1">
      <alignment vertical="center"/>
    </xf>
    <xf numFmtId="0" fontId="50" fillId="0" borderId="0" xfId="0" applyFont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EF5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8E1"/>
      <rgbColor rgb="FFE3F2FD"/>
      <rgbColor rgb="FF660066"/>
      <rgbColor rgb="FFFF8080"/>
      <rgbColor rgb="FF0066CC"/>
      <rgbColor rgb="FFD6E4F0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8F5E9"/>
      <rgbColor rgb="FFEBF1F8"/>
      <rgbColor rgb="FFFFF3E0"/>
      <rgbColor rgb="FFB0C4DE"/>
      <rgbColor rgb="FFFDEDEC"/>
      <rgbColor rgb="FFE8F0FE"/>
      <rgbColor rgb="FFF3E5F5"/>
      <rgbColor rgb="FF3A7BD5"/>
      <rgbColor rgb="FF33CCCC"/>
      <rgbColor rgb="FF99CC00"/>
      <rgbColor rgb="FFD4A017"/>
      <rgbColor rgb="FFF39C12"/>
      <rgbColor rgb="FFE74C3C"/>
      <rgbColor rgb="FF666666"/>
      <rgbColor rgb="FF7B8DB0"/>
      <rgbColor rgb="FF1B2A4A"/>
      <rgbColor rgb="FF27AE60"/>
      <rgbColor rgb="FF003300"/>
      <rgbColor rgb="FF333300"/>
      <rgbColor rgb="FF993300"/>
      <rgbColor rgb="FF993366"/>
      <rgbColor rgb="FF2C3E6B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2763606</xdr:colOff>
      <xdr:row>0</xdr:row>
      <xdr:rowOff>104777</xdr:rowOff>
    </xdr:from>
    <xdr:to>
      <xdr:col>3</xdr:col>
      <xdr:colOff>691217</xdr:colOff>
      <xdr:row>0</xdr:row>
      <xdr:rowOff>367661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4D802688-30B9-4CD5-8E09-0C3382F2E7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5092" y="104777"/>
          <a:ext cx="1264082" cy="26288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896706</xdr:colOff>
      <xdr:row>0</xdr:row>
      <xdr:rowOff>104777</xdr:rowOff>
    </xdr:from>
    <xdr:to>
      <xdr:col>3</xdr:col>
      <xdr:colOff>2158067</xdr:colOff>
      <xdr:row>0</xdr:row>
      <xdr:rowOff>367661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FC176A-B187-4585-94F1-9A09C69EB8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3856" y="104777"/>
          <a:ext cx="1261361" cy="26288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228602</xdr:colOff>
      <xdr:row>0</xdr:row>
      <xdr:rowOff>104777</xdr:rowOff>
    </xdr:from>
    <xdr:to>
      <xdr:col>5</xdr:col>
      <xdr:colOff>21752</xdr:colOff>
      <xdr:row>0</xdr:row>
      <xdr:rowOff>367661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2FFFA67-8FCE-4BAE-8696-D22286F2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62577" y="104777"/>
          <a:ext cx="1260000" cy="26288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20406</xdr:colOff>
      <xdr:row>0</xdr:row>
      <xdr:rowOff>104777</xdr:rowOff>
    </xdr:from>
    <xdr:to>
      <xdr:col>4</xdr:col>
      <xdr:colOff>1281767</xdr:colOff>
      <xdr:row>0</xdr:row>
      <xdr:rowOff>367661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E21E92F7-D937-4DDA-8171-9D8332D80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87581" y="104777"/>
          <a:ext cx="1261361" cy="26288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944331</xdr:colOff>
      <xdr:row>0</xdr:row>
      <xdr:rowOff>104777</xdr:rowOff>
    </xdr:from>
    <xdr:to>
      <xdr:col>5</xdr:col>
      <xdr:colOff>1005542</xdr:colOff>
      <xdr:row>0</xdr:row>
      <xdr:rowOff>367661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6B07119-8DE0-464E-B30B-B86384788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44831" y="104777"/>
          <a:ext cx="1261361" cy="26288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1220556</xdr:colOff>
      <xdr:row>0</xdr:row>
      <xdr:rowOff>104777</xdr:rowOff>
    </xdr:from>
    <xdr:to>
      <xdr:col>4</xdr:col>
      <xdr:colOff>1148417</xdr:colOff>
      <xdr:row>0</xdr:row>
      <xdr:rowOff>367661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1000838-E7C4-4376-934D-49888BBE30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20981" y="104777"/>
          <a:ext cx="1261361" cy="26288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1201506</xdr:colOff>
      <xdr:row>0</xdr:row>
      <xdr:rowOff>104777</xdr:rowOff>
    </xdr:from>
    <xdr:to>
      <xdr:col>5</xdr:col>
      <xdr:colOff>367367</xdr:colOff>
      <xdr:row>0</xdr:row>
      <xdr:rowOff>367661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E05DD41-7C28-4659-835D-70E64033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78131" y="104777"/>
          <a:ext cx="1261361" cy="2628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E35"/>
  <sheetViews>
    <sheetView showGridLines="0" tabSelected="1" zoomScaleNormal="100" workbookViewId="0"/>
  </sheetViews>
  <sheetFormatPr defaultColWidth="8.7109375" defaultRowHeight="15"/>
  <cols>
    <col min="1" max="1" width="3" customWidth="1"/>
    <col min="2" max="2" width="12" customWidth="1"/>
    <col min="3" max="3" width="50" customWidth="1"/>
    <col min="4" max="4" width="12" customWidth="1"/>
    <col min="5" max="5" width="3" customWidth="1"/>
  </cols>
  <sheetData>
    <row r="1" spans="1:5" ht="39.75" customHeight="1">
      <c r="A1" s="1"/>
      <c r="B1" s="66"/>
      <c r="C1" s="66"/>
      <c r="D1" s="66"/>
    </row>
    <row r="2" spans="1:5">
      <c r="A2" s="1"/>
      <c r="B2" s="2"/>
      <c r="C2" s="2"/>
      <c r="D2" s="2"/>
      <c r="E2" s="1"/>
    </row>
    <row r="3" spans="1:5" ht="45" customHeight="1">
      <c r="A3" s="1"/>
      <c r="B3" s="68" t="s">
        <v>0</v>
      </c>
      <c r="C3" s="68"/>
      <c r="D3" s="68"/>
      <c r="E3" s="1"/>
    </row>
    <row r="4" spans="1:5">
      <c r="A4" s="1"/>
      <c r="B4" s="2"/>
      <c r="C4" s="2"/>
      <c r="D4" s="2"/>
      <c r="E4" s="1"/>
    </row>
    <row r="5" spans="1:5" ht="20.100000000000001" customHeight="1">
      <c r="A5" s="1"/>
      <c r="B5" s="69" t="s">
        <v>123</v>
      </c>
      <c r="C5" s="70"/>
      <c r="D5" s="70"/>
      <c r="E5" s="1"/>
    </row>
    <row r="6" spans="1:5">
      <c r="A6" s="1"/>
      <c r="B6" s="2"/>
      <c r="C6" s="2"/>
      <c r="D6" s="2"/>
      <c r="E6" s="1"/>
    </row>
    <row r="7" spans="1:5" ht="15" customHeight="1">
      <c r="A7" s="1"/>
      <c r="B7" s="71" t="s">
        <v>124</v>
      </c>
      <c r="C7" s="72"/>
      <c r="D7" s="72"/>
      <c r="E7" s="1"/>
    </row>
    <row r="8" spans="1:5">
      <c r="A8" s="1"/>
      <c r="B8" s="2"/>
      <c r="C8" s="2"/>
      <c r="D8" s="2"/>
      <c r="E8" s="1"/>
    </row>
    <row r="9" spans="1:5">
      <c r="A9" s="1"/>
      <c r="B9" s="1"/>
      <c r="C9" s="1"/>
      <c r="D9" s="1"/>
      <c r="E9" s="1"/>
    </row>
    <row r="10" spans="1:5" ht="34.5" customHeight="1">
      <c r="A10" s="1"/>
      <c r="B10" s="73" t="s">
        <v>1</v>
      </c>
      <c r="C10" s="73"/>
      <c r="D10" s="73"/>
      <c r="E10" s="1"/>
    </row>
    <row r="11" spans="1:5">
      <c r="A11" s="1"/>
      <c r="B11" s="1"/>
      <c r="C11" s="1"/>
      <c r="D11" s="1"/>
      <c r="E11" s="1"/>
    </row>
    <row r="12" spans="1:5" ht="27.75" customHeight="1">
      <c r="A12" s="1"/>
      <c r="B12" s="67" t="s">
        <v>125</v>
      </c>
      <c r="C12" s="67"/>
      <c r="D12" s="67"/>
      <c r="E12" s="1"/>
    </row>
    <row r="13" spans="1:5" ht="21.75" customHeight="1">
      <c r="A13" s="1"/>
      <c r="B13" s="61" t="s">
        <v>130</v>
      </c>
      <c r="C13" s="61"/>
      <c r="D13" s="61"/>
      <c r="E13" s="1"/>
    </row>
    <row r="14" spans="1:5" ht="27.75" customHeight="1">
      <c r="A14" s="1"/>
      <c r="B14" s="67" t="s">
        <v>126</v>
      </c>
      <c r="C14" s="67"/>
      <c r="D14" s="67"/>
      <c r="E14" s="1"/>
    </row>
    <row r="15" spans="1:5" ht="21.75" customHeight="1">
      <c r="A15" s="1"/>
      <c r="B15" s="61" t="s">
        <v>2</v>
      </c>
      <c r="C15" s="61"/>
      <c r="D15" s="61"/>
      <c r="E15" s="1"/>
    </row>
    <row r="16" spans="1:5" ht="27.75" customHeight="1">
      <c r="A16" s="1"/>
      <c r="B16" s="67" t="s">
        <v>127</v>
      </c>
      <c r="C16" s="67"/>
      <c r="D16" s="67"/>
      <c r="E16" s="1"/>
    </row>
    <row r="17" spans="1:5" ht="21.75" customHeight="1">
      <c r="A17" s="1"/>
      <c r="B17" s="61" t="s">
        <v>131</v>
      </c>
      <c r="C17" s="61"/>
      <c r="D17" s="61"/>
      <c r="E17" s="1"/>
    </row>
    <row r="18" spans="1:5" ht="27.75" customHeight="1">
      <c r="A18" s="1"/>
      <c r="B18" s="67" t="s">
        <v>3</v>
      </c>
      <c r="C18" s="67"/>
      <c r="D18" s="67"/>
      <c r="E18" s="1"/>
    </row>
    <row r="19" spans="1:5" ht="21.75" customHeight="1">
      <c r="A19" s="1"/>
      <c r="B19" s="61" t="s">
        <v>4</v>
      </c>
      <c r="C19" s="61"/>
      <c r="D19" s="61"/>
      <c r="E19" s="1"/>
    </row>
    <row r="20" spans="1:5" ht="27.75" customHeight="1">
      <c r="A20" s="1"/>
      <c r="B20" s="67" t="s">
        <v>5</v>
      </c>
      <c r="C20" s="67"/>
      <c r="D20" s="67"/>
      <c r="E20" s="1"/>
    </row>
    <row r="21" spans="1:5" ht="21.75" customHeight="1">
      <c r="A21" s="1"/>
      <c r="B21" s="61" t="s">
        <v>6</v>
      </c>
      <c r="C21" s="61"/>
      <c r="D21" s="61"/>
      <c r="E21" s="1"/>
    </row>
    <row r="22" spans="1:5" ht="27.75" customHeight="1">
      <c r="A22" s="1"/>
      <c r="B22" s="67" t="s">
        <v>7</v>
      </c>
      <c r="C22" s="67"/>
      <c r="D22" s="67"/>
      <c r="E22" s="1"/>
    </row>
    <row r="23" spans="1:5" ht="21.75" customHeight="1">
      <c r="A23" s="1"/>
      <c r="B23" s="61" t="s">
        <v>8</v>
      </c>
      <c r="C23" s="61"/>
      <c r="D23" s="61"/>
      <c r="E23" s="1"/>
    </row>
    <row r="24" spans="1:5">
      <c r="A24" s="1"/>
      <c r="B24" s="1"/>
      <c r="C24" s="1"/>
      <c r="D24" s="1"/>
      <c r="E24" s="1"/>
    </row>
    <row r="25" spans="1:5">
      <c r="A25" s="1"/>
      <c r="B25" s="3"/>
      <c r="C25" s="3"/>
      <c r="D25" s="3"/>
      <c r="E25" s="1"/>
    </row>
    <row r="26" spans="1:5" ht="20.100000000000001" customHeight="1">
      <c r="A26" s="1"/>
      <c r="B26" s="62" t="s">
        <v>128</v>
      </c>
      <c r="C26" s="62"/>
      <c r="D26" s="62"/>
      <c r="E26" s="1"/>
    </row>
    <row r="27" spans="1:5" ht="17.100000000000001" customHeight="1">
      <c r="A27" s="1"/>
      <c r="B27" s="63" t="s">
        <v>129</v>
      </c>
      <c r="C27" s="64"/>
      <c r="D27" s="64"/>
      <c r="E27" s="1"/>
    </row>
    <row r="28" spans="1:5">
      <c r="A28" s="1"/>
      <c r="B28" s="3"/>
      <c r="C28" s="3"/>
      <c r="D28" s="3"/>
      <c r="E28" s="1"/>
    </row>
    <row r="29" spans="1:5">
      <c r="A29" s="1"/>
      <c r="B29" s="1"/>
      <c r="C29" s="1"/>
      <c r="D29" s="1"/>
      <c r="E29" s="1"/>
    </row>
    <row r="30" spans="1:5" ht="15" customHeight="1">
      <c r="A30" s="1"/>
      <c r="B30" s="65" t="s">
        <v>9</v>
      </c>
      <c r="C30" s="65"/>
      <c r="D30" s="65"/>
      <c r="E30" s="1"/>
    </row>
    <row r="31" spans="1:5">
      <c r="A31" s="1"/>
      <c r="B31" s="1"/>
      <c r="C31" s="1"/>
      <c r="D31" s="1"/>
      <c r="E31" s="1"/>
    </row>
    <row r="32" spans="1:5">
      <c r="A32" s="1"/>
      <c r="B32" s="60" t="s">
        <v>237</v>
      </c>
      <c r="C32" s="60"/>
      <c r="D32" s="60"/>
    </row>
    <row r="33" spans="1:5">
      <c r="A33" s="1"/>
      <c r="B33" s="1"/>
      <c r="C33" s="1"/>
      <c r="D33" s="1"/>
      <c r="E33" s="1"/>
    </row>
    <row r="34" spans="1:5">
      <c r="A34" s="1"/>
      <c r="B34" s="1"/>
      <c r="C34" s="1"/>
      <c r="D34" s="1"/>
      <c r="E34" s="1"/>
    </row>
    <row r="35" spans="1:5">
      <c r="A35" s="1"/>
      <c r="B35" s="1"/>
      <c r="C35" s="1"/>
      <c r="D35" s="1"/>
      <c r="E35" s="1"/>
    </row>
  </sheetData>
  <mergeCells count="21">
    <mergeCell ref="B22:D22"/>
    <mergeCell ref="B13:D13"/>
    <mergeCell ref="B14:D14"/>
    <mergeCell ref="B15:D15"/>
    <mergeCell ref="B16:D16"/>
    <mergeCell ref="B17:D17"/>
    <mergeCell ref="B1:D1"/>
    <mergeCell ref="B18:D18"/>
    <mergeCell ref="B19:D19"/>
    <mergeCell ref="B20:D20"/>
    <mergeCell ref="B21:D21"/>
    <mergeCell ref="B3:D3"/>
    <mergeCell ref="B5:D5"/>
    <mergeCell ref="B7:D7"/>
    <mergeCell ref="B10:D10"/>
    <mergeCell ref="B12:D12"/>
    <mergeCell ref="B32:D32"/>
    <mergeCell ref="B23:D23"/>
    <mergeCell ref="B26:D26"/>
    <mergeCell ref="B27:D27"/>
    <mergeCell ref="B30:D30"/>
  </mergeCells>
  <phoneticPr fontId="11" type="noConversion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A7BD5"/>
  </sheetPr>
  <dimension ref="B1:D20"/>
  <sheetViews>
    <sheetView showGridLines="0" zoomScaleNormal="100" workbookViewId="0"/>
  </sheetViews>
  <sheetFormatPr defaultColWidth="8.7109375" defaultRowHeight="15"/>
  <cols>
    <col min="1" max="1" width="3" customWidth="1"/>
    <col min="2" max="2" width="20" customWidth="1"/>
    <col min="3" max="4" width="35" customWidth="1"/>
    <col min="5" max="5" width="3" customWidth="1"/>
  </cols>
  <sheetData>
    <row r="1" spans="2:4" ht="39.75" customHeight="1">
      <c r="B1" s="66"/>
      <c r="C1" s="66"/>
      <c r="D1" s="66"/>
    </row>
    <row r="2" spans="2:4" ht="34.5" customHeight="1">
      <c r="B2" s="74" t="s">
        <v>132</v>
      </c>
      <c r="C2" s="74"/>
      <c r="D2" s="74"/>
    </row>
    <row r="4" spans="2:4" ht="34.5" customHeight="1">
      <c r="B4" s="7" t="s">
        <v>10</v>
      </c>
      <c r="C4" s="7" t="s">
        <v>133</v>
      </c>
      <c r="D4" s="7" t="s">
        <v>134</v>
      </c>
    </row>
    <row r="5" spans="2:4" ht="49.5" customHeight="1">
      <c r="B5" s="8" t="s">
        <v>11</v>
      </c>
      <c r="C5" s="12" t="s">
        <v>135</v>
      </c>
      <c r="D5" s="12" t="s">
        <v>136</v>
      </c>
    </row>
    <row r="6" spans="2:4" ht="49.5" customHeight="1">
      <c r="B6" s="8" t="s">
        <v>12</v>
      </c>
      <c r="C6" s="12" t="s">
        <v>137</v>
      </c>
      <c r="D6" s="12" t="s">
        <v>138</v>
      </c>
    </row>
    <row r="7" spans="2:4" ht="49.5" customHeight="1">
      <c r="B7" s="8" t="s">
        <v>13</v>
      </c>
      <c r="C7" s="12" t="s">
        <v>14</v>
      </c>
      <c r="D7" s="12" t="s">
        <v>15</v>
      </c>
    </row>
    <row r="8" spans="2:4" ht="49.5" customHeight="1">
      <c r="B8" s="8" t="s">
        <v>16</v>
      </c>
      <c r="C8" s="12" t="s">
        <v>17</v>
      </c>
      <c r="D8" s="12" t="s">
        <v>18</v>
      </c>
    </row>
    <row r="9" spans="2:4" ht="49.5" customHeight="1">
      <c r="B9" s="8" t="s">
        <v>19</v>
      </c>
      <c r="C9" s="12" t="s">
        <v>139</v>
      </c>
      <c r="D9" s="12" t="s">
        <v>140</v>
      </c>
    </row>
    <row r="10" spans="2:4" ht="49.5" customHeight="1">
      <c r="B10" s="8" t="s">
        <v>20</v>
      </c>
      <c r="C10" s="12" t="s">
        <v>21</v>
      </c>
      <c r="D10" s="12" t="s">
        <v>141</v>
      </c>
    </row>
    <row r="11" spans="2:4" ht="49.5" customHeight="1">
      <c r="B11" s="8" t="s">
        <v>22</v>
      </c>
      <c r="C11" s="12" t="s">
        <v>23</v>
      </c>
      <c r="D11" s="12" t="s">
        <v>24</v>
      </c>
    </row>
    <row r="12" spans="2:4" ht="49.5" customHeight="1">
      <c r="B12" s="8" t="s">
        <v>25</v>
      </c>
      <c r="C12" s="13" t="s">
        <v>142</v>
      </c>
      <c r="D12" s="14" t="s">
        <v>143</v>
      </c>
    </row>
    <row r="14" spans="2:4" ht="34.5" customHeight="1">
      <c r="B14" s="74" t="s">
        <v>144</v>
      </c>
      <c r="C14" s="74"/>
      <c r="D14" s="74"/>
    </row>
    <row r="16" spans="2:4" ht="64.5" customHeight="1">
      <c r="B16" s="11" t="s">
        <v>145</v>
      </c>
      <c r="C16" s="75" t="s">
        <v>149</v>
      </c>
      <c r="D16" s="75"/>
    </row>
    <row r="17" spans="2:4" ht="64.5" customHeight="1">
      <c r="B17" s="11" t="s">
        <v>146</v>
      </c>
      <c r="C17" s="75" t="s">
        <v>150</v>
      </c>
      <c r="D17" s="75"/>
    </row>
    <row r="18" spans="2:4" ht="64.5" customHeight="1">
      <c r="B18" s="11" t="s">
        <v>147</v>
      </c>
      <c r="C18" s="75" t="s">
        <v>148</v>
      </c>
      <c r="D18" s="75"/>
    </row>
    <row r="20" spans="2:4">
      <c r="B20" s="60" t="s">
        <v>237</v>
      </c>
      <c r="C20" s="60"/>
      <c r="D20" s="60"/>
    </row>
  </sheetData>
  <mergeCells count="7">
    <mergeCell ref="B1:D1"/>
    <mergeCell ref="B20:D20"/>
    <mergeCell ref="B2:D2"/>
    <mergeCell ref="B14:D14"/>
    <mergeCell ref="C16:D16"/>
    <mergeCell ref="C17:D17"/>
    <mergeCell ref="C18:D18"/>
  </mergeCells>
  <phoneticPr fontId="11" type="noConversion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7AE60"/>
  </sheetPr>
  <dimension ref="B1:F34"/>
  <sheetViews>
    <sheetView showGridLines="0" zoomScaleNormal="100" workbookViewId="0"/>
  </sheetViews>
  <sheetFormatPr defaultColWidth="8.7109375" defaultRowHeight="15"/>
  <cols>
    <col min="1" max="1" width="3" customWidth="1"/>
    <col min="2" max="2" width="30" customWidth="1"/>
    <col min="3" max="5" width="22" customWidth="1"/>
    <col min="6" max="6" width="3" customWidth="1"/>
  </cols>
  <sheetData>
    <row r="1" spans="2:6" ht="39.75" customHeight="1">
      <c r="B1" s="66"/>
      <c r="C1" s="66"/>
      <c r="D1" s="66"/>
      <c r="E1" s="66"/>
      <c r="F1" s="66"/>
    </row>
    <row r="2" spans="2:6" ht="34.5" customHeight="1">
      <c r="B2" s="74" t="s">
        <v>26</v>
      </c>
      <c r="C2" s="74"/>
      <c r="D2" s="74"/>
      <c r="E2" s="74"/>
    </row>
    <row r="3" spans="2:6" ht="24.75" customHeight="1">
      <c r="B3" s="109" t="s">
        <v>27</v>
      </c>
      <c r="C3" s="109"/>
      <c r="D3" s="109"/>
      <c r="E3" s="109"/>
    </row>
    <row r="4" spans="2:6" ht="15" customHeight="1">
      <c r="B4" s="110"/>
      <c r="C4" s="110"/>
      <c r="D4" s="110"/>
      <c r="E4" s="110"/>
    </row>
    <row r="5" spans="2:6" ht="30" customHeight="1">
      <c r="B5" s="89" t="s">
        <v>241</v>
      </c>
      <c r="C5" s="90"/>
      <c r="D5" s="90"/>
      <c r="E5" s="90"/>
    </row>
    <row r="6" spans="2:6" ht="30" customHeight="1">
      <c r="B6" s="17" t="s">
        <v>151</v>
      </c>
      <c r="C6" s="86">
        <v>2400</v>
      </c>
      <c r="D6" s="86"/>
      <c r="E6" s="18" t="s">
        <v>28</v>
      </c>
    </row>
    <row r="7" spans="2:6" ht="30" customHeight="1">
      <c r="B7" s="17" t="s">
        <v>152</v>
      </c>
      <c r="C7" s="86">
        <v>3</v>
      </c>
      <c r="D7" s="86"/>
      <c r="E7" s="18" t="s">
        <v>28</v>
      </c>
    </row>
    <row r="8" spans="2:6" ht="30" customHeight="1">
      <c r="B8" s="17" t="s">
        <v>153</v>
      </c>
      <c r="C8" s="86">
        <v>38</v>
      </c>
      <c r="D8" s="86"/>
      <c r="E8" s="18" t="s">
        <v>28</v>
      </c>
    </row>
    <row r="9" spans="2:6" ht="30" customHeight="1">
      <c r="B9" s="17" t="s">
        <v>154</v>
      </c>
      <c r="C9" s="86">
        <v>10</v>
      </c>
      <c r="D9" s="86"/>
      <c r="E9" s="18" t="s">
        <v>28</v>
      </c>
    </row>
    <row r="10" spans="2:6" ht="30" customHeight="1">
      <c r="B10" s="17" t="s">
        <v>155</v>
      </c>
      <c r="C10" s="86">
        <v>9.4</v>
      </c>
      <c r="D10" s="86"/>
      <c r="E10" s="18" t="s">
        <v>28</v>
      </c>
    </row>
    <row r="11" spans="2:6">
      <c r="B11" s="19"/>
      <c r="C11" s="19"/>
      <c r="D11" s="19"/>
      <c r="E11" s="19"/>
    </row>
    <row r="12" spans="2:6" ht="30" customHeight="1">
      <c r="B12" s="87" t="s">
        <v>238</v>
      </c>
      <c r="C12" s="88"/>
      <c r="D12" s="88"/>
      <c r="E12" s="88"/>
    </row>
    <row r="13" spans="2:6" ht="27.75" customHeight="1">
      <c r="B13" s="17" t="s">
        <v>156</v>
      </c>
      <c r="C13" s="85">
        <f>C6</f>
        <v>2400</v>
      </c>
      <c r="D13" s="85"/>
      <c r="E13" s="18" t="s">
        <v>29</v>
      </c>
    </row>
    <row r="14" spans="2:6" ht="27.75" customHeight="1">
      <c r="B14" s="17" t="s">
        <v>157</v>
      </c>
      <c r="C14" s="85">
        <f>ROUND(C6/(1-C8/100*(1+C9/100)-C10/100),0)</f>
        <v>4918</v>
      </c>
      <c r="D14" s="85"/>
      <c r="E14" s="18" t="s">
        <v>172</v>
      </c>
    </row>
    <row r="15" spans="2:6" ht="27.75" customHeight="1">
      <c r="B15" s="17" t="s">
        <v>158</v>
      </c>
      <c r="C15" s="85">
        <f>ROUND((C14-C6)*C8/100*(1+C9/100)/(C8/100*(1+C9/100)+C10/100),0)</f>
        <v>2056</v>
      </c>
      <c r="D15" s="85"/>
      <c r="E15" s="18"/>
    </row>
    <row r="16" spans="2:6" ht="27.75" customHeight="1">
      <c r="B16" s="17" t="s">
        <v>159</v>
      </c>
      <c r="C16" s="85">
        <f>ROUND(C15*C9/100,0)</f>
        <v>206</v>
      </c>
      <c r="D16" s="85"/>
      <c r="E16" s="18" t="s">
        <v>173</v>
      </c>
    </row>
    <row r="17" spans="2:5" ht="27.75" customHeight="1">
      <c r="B17" s="17" t="s">
        <v>160</v>
      </c>
      <c r="C17" s="85">
        <f>ROUND(C14*C10/100,0)</f>
        <v>462</v>
      </c>
      <c r="D17" s="85"/>
      <c r="E17" s="18"/>
    </row>
    <row r="18" spans="2:5" ht="27.75" customHeight="1">
      <c r="B18" s="17" t="s">
        <v>161</v>
      </c>
      <c r="C18" s="82">
        <f>C15+C16+C17</f>
        <v>2724</v>
      </c>
      <c r="D18" s="82"/>
      <c r="E18" s="18" t="s">
        <v>30</v>
      </c>
    </row>
    <row r="19" spans="2:5" ht="27.75" customHeight="1">
      <c r="B19" s="17" t="s">
        <v>162</v>
      </c>
      <c r="C19" s="82">
        <f>C14+C14*0.098</f>
        <v>5399.9639999999999</v>
      </c>
      <c r="D19" s="82"/>
      <c r="E19" s="18" t="s">
        <v>174</v>
      </c>
    </row>
    <row r="20" spans="2:5" ht="15" customHeight="1">
      <c r="B20" s="19"/>
      <c r="C20" s="19"/>
      <c r="D20" s="19"/>
      <c r="E20" s="19"/>
    </row>
    <row r="21" spans="2:5" ht="30" customHeight="1">
      <c r="B21" s="83" t="s">
        <v>239</v>
      </c>
      <c r="C21" s="84"/>
      <c r="D21" s="84"/>
      <c r="E21" s="84"/>
    </row>
    <row r="22" spans="2:5" ht="27.75" customHeight="1">
      <c r="B22" s="17" t="s">
        <v>163</v>
      </c>
      <c r="C22" s="85">
        <f>C14</f>
        <v>4918</v>
      </c>
      <c r="D22" s="85"/>
      <c r="E22" s="18" t="s">
        <v>31</v>
      </c>
    </row>
    <row r="23" spans="2:5" ht="27.75" customHeight="1">
      <c r="B23" s="17" t="s">
        <v>164</v>
      </c>
      <c r="C23" s="85">
        <f>ROUND(C22*(1+0.098),0)</f>
        <v>5400</v>
      </c>
      <c r="D23" s="85"/>
      <c r="E23" s="18" t="s">
        <v>170</v>
      </c>
    </row>
    <row r="24" spans="2:5" ht="27.75" customHeight="1">
      <c r="B24" s="17" t="s">
        <v>32</v>
      </c>
      <c r="C24" s="85">
        <v>0</v>
      </c>
      <c r="D24" s="85"/>
      <c r="E24" s="18" t="s">
        <v>171</v>
      </c>
    </row>
    <row r="25" spans="2:5">
      <c r="B25" s="19"/>
      <c r="C25" s="19"/>
      <c r="D25" s="19"/>
      <c r="E25" s="19"/>
    </row>
    <row r="26" spans="2:5" ht="34.5" customHeight="1">
      <c r="B26" s="78" t="s">
        <v>240</v>
      </c>
      <c r="C26" s="79"/>
      <c r="D26" s="79"/>
      <c r="E26" s="79"/>
    </row>
    <row r="27" spans="2:5" ht="34.5" customHeight="1">
      <c r="B27" s="20" t="s">
        <v>165</v>
      </c>
      <c r="C27" s="80">
        <f>C18</f>
        <v>2724</v>
      </c>
      <c r="D27" s="80"/>
      <c r="E27" s="18" t="s">
        <v>33</v>
      </c>
    </row>
    <row r="28" spans="2:5" ht="34.5" customHeight="1">
      <c r="B28" s="20" t="s">
        <v>166</v>
      </c>
      <c r="C28" s="80">
        <f>C27*12</f>
        <v>32688</v>
      </c>
      <c r="D28" s="80"/>
      <c r="E28" s="18"/>
    </row>
    <row r="29" spans="2:5" ht="34.5" customHeight="1">
      <c r="B29" s="20" t="s">
        <v>167</v>
      </c>
      <c r="C29" s="80">
        <f>C28*C7</f>
        <v>98064</v>
      </c>
      <c r="D29" s="80"/>
      <c r="E29" s="18" t="s">
        <v>34</v>
      </c>
    </row>
    <row r="30" spans="2:5" ht="34.5" customHeight="1">
      <c r="B30" s="20" t="s">
        <v>168</v>
      </c>
      <c r="C30" s="81" t="s">
        <v>35</v>
      </c>
      <c r="D30" s="81"/>
      <c r="E30" s="18" t="s">
        <v>169</v>
      </c>
    </row>
    <row r="31" spans="2:5">
      <c r="B31" s="16"/>
      <c r="C31" s="16"/>
      <c r="D31" s="16"/>
      <c r="E31" s="16"/>
    </row>
    <row r="32" spans="2:5" ht="34.5" customHeight="1">
      <c r="B32" s="76" t="s">
        <v>246</v>
      </c>
      <c r="C32" s="77"/>
      <c r="D32" s="77"/>
      <c r="E32" s="77"/>
    </row>
    <row r="34" spans="2:5">
      <c r="B34" s="60" t="s">
        <v>237</v>
      </c>
      <c r="C34" s="60"/>
      <c r="D34" s="60"/>
      <c r="E34" s="60"/>
    </row>
  </sheetData>
  <mergeCells count="28">
    <mergeCell ref="B2:E2"/>
    <mergeCell ref="B3:E3"/>
    <mergeCell ref="B5:E5"/>
    <mergeCell ref="C6:D6"/>
    <mergeCell ref="C7:D7"/>
    <mergeCell ref="C17:D17"/>
    <mergeCell ref="C18:D18"/>
    <mergeCell ref="C8:D8"/>
    <mergeCell ref="C9:D9"/>
    <mergeCell ref="C10:D10"/>
    <mergeCell ref="B12:E12"/>
    <mergeCell ref="C13:D13"/>
    <mergeCell ref="B32:E32"/>
    <mergeCell ref="B1:F1"/>
    <mergeCell ref="B34:E34"/>
    <mergeCell ref="B26:E26"/>
    <mergeCell ref="C27:D27"/>
    <mergeCell ref="C28:D28"/>
    <mergeCell ref="C29:D29"/>
    <mergeCell ref="C30:D30"/>
    <mergeCell ref="C19:D19"/>
    <mergeCell ref="B21:E21"/>
    <mergeCell ref="C22:D22"/>
    <mergeCell ref="C23:D23"/>
    <mergeCell ref="C24:D24"/>
    <mergeCell ref="C14:D14"/>
    <mergeCell ref="C15:D15"/>
    <mergeCell ref="C16:D16"/>
  </mergeCells>
  <phoneticPr fontId="11" type="noConversion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D4A017"/>
  </sheetPr>
  <dimension ref="B1:E30"/>
  <sheetViews>
    <sheetView showGridLines="0" zoomScaleNormal="100" workbookViewId="0"/>
  </sheetViews>
  <sheetFormatPr defaultColWidth="8.7109375" defaultRowHeight="15"/>
  <cols>
    <col min="1" max="1" width="3" customWidth="1"/>
    <col min="2" max="3" width="18" customWidth="1"/>
    <col min="4" max="5" width="22" customWidth="1"/>
    <col min="6" max="6" width="3" customWidth="1"/>
  </cols>
  <sheetData>
    <row r="1" spans="2:5" ht="39.75" customHeight="1">
      <c r="B1" s="66"/>
      <c r="C1" s="66"/>
      <c r="D1" s="66"/>
      <c r="E1" s="66"/>
    </row>
    <row r="2" spans="2:5" ht="34.5" customHeight="1">
      <c r="B2" s="74" t="s">
        <v>175</v>
      </c>
      <c r="C2" s="74"/>
      <c r="D2" s="74"/>
      <c r="E2" s="74"/>
    </row>
    <row r="4" spans="2:5" ht="27.75" customHeight="1">
      <c r="B4" s="95" t="s">
        <v>179</v>
      </c>
      <c r="C4" s="96" t="s">
        <v>180</v>
      </c>
      <c r="D4" s="97" t="s">
        <v>191</v>
      </c>
      <c r="E4" s="97"/>
    </row>
    <row r="5" spans="2:5" ht="27.75" customHeight="1">
      <c r="B5" s="95"/>
      <c r="C5" s="95"/>
      <c r="D5" s="98"/>
      <c r="E5" s="97"/>
    </row>
    <row r="6" spans="2:5" ht="27.75" customHeight="1">
      <c r="B6" s="95"/>
      <c r="C6" s="95"/>
      <c r="D6" s="98"/>
      <c r="E6" s="97"/>
    </row>
    <row r="7" spans="2:5" ht="27.75" customHeight="1">
      <c r="B7" s="99" t="s">
        <v>178</v>
      </c>
      <c r="C7" s="100" t="s">
        <v>181</v>
      </c>
      <c r="D7" s="101" t="s">
        <v>190</v>
      </c>
      <c r="E7" s="101"/>
    </row>
    <row r="8" spans="2:5" ht="27.75" customHeight="1">
      <c r="B8" s="99"/>
      <c r="C8" s="99"/>
      <c r="D8" s="102"/>
      <c r="E8" s="101"/>
    </row>
    <row r="9" spans="2:5" ht="27.75" customHeight="1">
      <c r="B9" s="99"/>
      <c r="C9" s="99"/>
      <c r="D9" s="102"/>
      <c r="E9" s="101"/>
    </row>
    <row r="10" spans="2:5" ht="27.75" customHeight="1">
      <c r="B10" s="91" t="s">
        <v>182</v>
      </c>
      <c r="C10" s="92" t="s">
        <v>36</v>
      </c>
      <c r="D10" s="93" t="s">
        <v>189</v>
      </c>
      <c r="E10" s="93"/>
    </row>
    <row r="11" spans="2:5" ht="27.75" customHeight="1">
      <c r="B11" s="91"/>
      <c r="C11" s="91"/>
      <c r="D11" s="94"/>
      <c r="E11" s="93"/>
    </row>
    <row r="12" spans="2:5" ht="27.75" customHeight="1">
      <c r="B12" s="91"/>
      <c r="C12" s="91"/>
      <c r="D12" s="94"/>
      <c r="E12" s="93"/>
    </row>
    <row r="14" spans="2:5" ht="34.5" customHeight="1">
      <c r="B14" s="74" t="s">
        <v>176</v>
      </c>
      <c r="C14" s="74"/>
      <c r="D14" s="74"/>
      <c r="E14" s="74"/>
    </row>
    <row r="16" spans="2:5" ht="30" customHeight="1">
      <c r="B16" s="7" t="s">
        <v>192</v>
      </c>
      <c r="C16" s="7" t="s">
        <v>37</v>
      </c>
      <c r="D16" s="7" t="s">
        <v>38</v>
      </c>
      <c r="E16" s="7" t="s">
        <v>39</v>
      </c>
    </row>
    <row r="17" spans="2:5" ht="30" customHeight="1">
      <c r="B17" s="21" t="s">
        <v>40</v>
      </c>
      <c r="C17" s="4" t="s">
        <v>41</v>
      </c>
      <c r="D17" s="12" t="s">
        <v>188</v>
      </c>
      <c r="E17" s="12" t="s">
        <v>42</v>
      </c>
    </row>
    <row r="18" spans="2:5" ht="30" customHeight="1">
      <c r="B18" s="22" t="s">
        <v>43</v>
      </c>
      <c r="C18" s="5" t="s">
        <v>44</v>
      </c>
      <c r="D18" s="25" t="s">
        <v>45</v>
      </c>
      <c r="E18" s="25" t="s">
        <v>46</v>
      </c>
    </row>
    <row r="19" spans="2:5" ht="30" customHeight="1">
      <c r="B19" s="21" t="s">
        <v>47</v>
      </c>
      <c r="C19" s="4" t="s">
        <v>48</v>
      </c>
      <c r="D19" s="12" t="s">
        <v>49</v>
      </c>
      <c r="E19" s="12" t="s">
        <v>50</v>
      </c>
    </row>
    <row r="20" spans="2:5" ht="30" customHeight="1">
      <c r="B20" s="22" t="s">
        <v>51</v>
      </c>
      <c r="C20" s="5" t="s">
        <v>52</v>
      </c>
      <c r="D20" s="25" t="s">
        <v>53</v>
      </c>
      <c r="E20" s="25" t="s">
        <v>54</v>
      </c>
    </row>
    <row r="22" spans="2:5" ht="34.5" customHeight="1">
      <c r="B22" s="74" t="s">
        <v>177</v>
      </c>
      <c r="C22" s="74"/>
      <c r="D22" s="74"/>
      <c r="E22" s="74"/>
    </row>
    <row r="24" spans="2:5">
      <c r="B24" s="7" t="s">
        <v>10</v>
      </c>
      <c r="C24" s="7" t="s">
        <v>55</v>
      </c>
      <c r="D24" s="7" t="s">
        <v>193</v>
      </c>
      <c r="E24" s="7" t="s">
        <v>56</v>
      </c>
    </row>
    <row r="25" spans="2:5" ht="30" customHeight="1">
      <c r="B25" s="21" t="s">
        <v>183</v>
      </c>
      <c r="C25" s="12" t="s">
        <v>57</v>
      </c>
      <c r="D25" s="15">
        <v>2275</v>
      </c>
      <c r="E25" s="12" t="s">
        <v>186</v>
      </c>
    </row>
    <row r="26" spans="2:5" ht="30" customHeight="1">
      <c r="B26" s="22" t="s">
        <v>184</v>
      </c>
      <c r="C26" s="25" t="s">
        <v>58</v>
      </c>
      <c r="D26" s="26">
        <v>1050</v>
      </c>
      <c r="E26" s="25" t="s">
        <v>187</v>
      </c>
    </row>
    <row r="27" spans="2:5" ht="30" customHeight="1">
      <c r="B27" s="21" t="s">
        <v>185</v>
      </c>
      <c r="C27" s="12" t="s">
        <v>59</v>
      </c>
      <c r="D27" s="15">
        <v>175</v>
      </c>
      <c r="E27" s="12" t="s">
        <v>60</v>
      </c>
    </row>
    <row r="28" spans="2:5" ht="30" customHeight="1">
      <c r="B28" s="23" t="s">
        <v>61</v>
      </c>
      <c r="C28" s="23" t="s">
        <v>62</v>
      </c>
      <c r="D28" s="24">
        <v>3500</v>
      </c>
      <c r="E28" s="6"/>
    </row>
    <row r="30" spans="2:5">
      <c r="B30" s="60" t="s">
        <v>237</v>
      </c>
      <c r="C30" s="60"/>
      <c r="D30" s="60"/>
      <c r="E30" s="60"/>
    </row>
  </sheetData>
  <mergeCells count="14">
    <mergeCell ref="B1:E1"/>
    <mergeCell ref="B30:E30"/>
    <mergeCell ref="B10:B12"/>
    <mergeCell ref="C10:C12"/>
    <mergeCell ref="D10:E12"/>
    <mergeCell ref="B14:E14"/>
    <mergeCell ref="B22:E22"/>
    <mergeCell ref="B2:E2"/>
    <mergeCell ref="B4:B6"/>
    <mergeCell ref="C4:C6"/>
    <mergeCell ref="D4:E6"/>
    <mergeCell ref="B7:B9"/>
    <mergeCell ref="C7:C9"/>
    <mergeCell ref="D7:E9"/>
  </mergeCells>
  <phoneticPr fontId="11" type="noConversion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7AE60"/>
  </sheetPr>
  <dimension ref="B1:F18"/>
  <sheetViews>
    <sheetView showGridLines="0" zoomScaleNormal="100" workbookViewId="0"/>
  </sheetViews>
  <sheetFormatPr defaultColWidth="8.7109375" defaultRowHeight="15"/>
  <cols>
    <col min="1" max="1" width="3" customWidth="1"/>
    <col min="2" max="2" width="5" customWidth="1"/>
    <col min="3" max="3" width="20" customWidth="1"/>
    <col min="4" max="4" width="32" customWidth="1"/>
    <col min="5" max="6" width="18" customWidth="1"/>
    <col min="7" max="7" width="3" customWidth="1"/>
  </cols>
  <sheetData>
    <row r="1" spans="2:6" ht="39.75" customHeight="1">
      <c r="B1" s="66"/>
      <c r="C1" s="66"/>
      <c r="D1" s="66"/>
      <c r="E1" s="66"/>
      <c r="F1" s="66"/>
    </row>
    <row r="2" spans="2:6" ht="34.5" customHeight="1">
      <c r="B2" s="74" t="s">
        <v>63</v>
      </c>
      <c r="C2" s="74"/>
      <c r="D2" s="74"/>
      <c r="E2" s="74"/>
      <c r="F2" s="74"/>
    </row>
    <row r="3" spans="2:6" ht="30" customHeight="1">
      <c r="B3" s="103" t="s">
        <v>206</v>
      </c>
      <c r="C3" s="103"/>
      <c r="D3" s="103"/>
      <c r="E3" s="103"/>
      <c r="F3" s="103"/>
    </row>
    <row r="4" spans="2:6" ht="34.5" customHeight="1">
      <c r="B4" s="7" t="s">
        <v>64</v>
      </c>
      <c r="C4" s="7" t="s">
        <v>65</v>
      </c>
      <c r="D4" s="7" t="s">
        <v>66</v>
      </c>
      <c r="E4" s="7" t="s">
        <v>67</v>
      </c>
      <c r="F4" s="7" t="s">
        <v>194</v>
      </c>
    </row>
    <row r="5" spans="2:6" ht="54.75" customHeight="1">
      <c r="B5" s="21">
        <v>1</v>
      </c>
      <c r="C5" s="27" t="s">
        <v>68</v>
      </c>
      <c r="D5" s="9" t="s">
        <v>195</v>
      </c>
      <c r="E5" s="12" t="s">
        <v>69</v>
      </c>
      <c r="F5" s="30" t="s">
        <v>70</v>
      </c>
    </row>
    <row r="6" spans="2:6" ht="54.75" customHeight="1">
      <c r="B6" s="28">
        <v>2</v>
      </c>
      <c r="C6" s="29" t="s">
        <v>71</v>
      </c>
      <c r="D6" s="31" t="s">
        <v>196</v>
      </c>
      <c r="E6" s="32" t="s">
        <v>197</v>
      </c>
      <c r="F6" s="33" t="s">
        <v>70</v>
      </c>
    </row>
    <row r="7" spans="2:6" ht="54.75" customHeight="1">
      <c r="B7" s="21">
        <v>3</v>
      </c>
      <c r="C7" s="27" t="s">
        <v>72</v>
      </c>
      <c r="D7" s="9" t="s">
        <v>198</v>
      </c>
      <c r="E7" s="12" t="s">
        <v>73</v>
      </c>
      <c r="F7" s="30" t="s">
        <v>70</v>
      </c>
    </row>
    <row r="8" spans="2:6" ht="54.75" customHeight="1">
      <c r="B8" s="28">
        <v>4</v>
      </c>
      <c r="C8" s="29" t="s">
        <v>74</v>
      </c>
      <c r="D8" s="31" t="s">
        <v>199</v>
      </c>
      <c r="E8" s="32" t="s">
        <v>75</v>
      </c>
      <c r="F8" s="33" t="s">
        <v>70</v>
      </c>
    </row>
    <row r="9" spans="2:6" ht="54.75" customHeight="1">
      <c r="B9" s="21">
        <v>5</v>
      </c>
      <c r="C9" s="27" t="s">
        <v>76</v>
      </c>
      <c r="D9" s="9" t="s">
        <v>77</v>
      </c>
      <c r="E9" s="12" t="s">
        <v>78</v>
      </c>
      <c r="F9" s="30" t="s">
        <v>70</v>
      </c>
    </row>
    <row r="10" spans="2:6" ht="54.75" customHeight="1">
      <c r="B10" s="28">
        <v>6</v>
      </c>
      <c r="C10" s="29" t="s">
        <v>79</v>
      </c>
      <c r="D10" s="31" t="s">
        <v>200</v>
      </c>
      <c r="E10" s="32" t="s">
        <v>69</v>
      </c>
      <c r="F10" s="33" t="s">
        <v>70</v>
      </c>
    </row>
    <row r="11" spans="2:6" ht="54.75" customHeight="1">
      <c r="B11" s="21">
        <v>7</v>
      </c>
      <c r="C11" s="27" t="s">
        <v>80</v>
      </c>
      <c r="D11" s="9" t="s">
        <v>201</v>
      </c>
      <c r="E11" s="12" t="s">
        <v>81</v>
      </c>
      <c r="F11" s="30" t="s">
        <v>70</v>
      </c>
    </row>
    <row r="12" spans="2:6" ht="54.75" customHeight="1">
      <c r="B12" s="28">
        <v>8</v>
      </c>
      <c r="C12" s="29" t="s">
        <v>82</v>
      </c>
      <c r="D12" s="31" t="s">
        <v>83</v>
      </c>
      <c r="E12" s="32" t="s">
        <v>202</v>
      </c>
      <c r="F12" s="33" t="s">
        <v>70</v>
      </c>
    </row>
    <row r="13" spans="2:6" ht="54.75" customHeight="1">
      <c r="B13" s="21">
        <v>9</v>
      </c>
      <c r="C13" s="27" t="s">
        <v>84</v>
      </c>
      <c r="D13" s="9" t="s">
        <v>203</v>
      </c>
      <c r="E13" s="12" t="s">
        <v>204</v>
      </c>
      <c r="F13" s="30" t="s">
        <v>70</v>
      </c>
    </row>
    <row r="14" spans="2:6" ht="54.75" customHeight="1">
      <c r="B14" s="28">
        <v>10</v>
      </c>
      <c r="C14" s="29" t="s">
        <v>85</v>
      </c>
      <c r="D14" s="31" t="s">
        <v>86</v>
      </c>
      <c r="E14" s="32" t="s">
        <v>204</v>
      </c>
      <c r="F14" s="33" t="s">
        <v>70</v>
      </c>
    </row>
    <row r="16" spans="2:6" ht="34.5" customHeight="1">
      <c r="B16" s="104" t="s">
        <v>205</v>
      </c>
      <c r="C16" s="104"/>
      <c r="D16" s="104"/>
      <c r="E16" s="104"/>
      <c r="F16" s="104"/>
    </row>
    <row r="18" spans="2:6">
      <c r="B18" s="60" t="s">
        <v>237</v>
      </c>
      <c r="C18" s="60"/>
      <c r="D18" s="60"/>
      <c r="E18" s="60"/>
      <c r="F18" s="60"/>
    </row>
  </sheetData>
  <mergeCells count="5">
    <mergeCell ref="B18:F18"/>
    <mergeCell ref="B2:F2"/>
    <mergeCell ref="B3:F3"/>
    <mergeCell ref="B16:F16"/>
    <mergeCell ref="B1:F1"/>
  </mergeCells>
  <phoneticPr fontId="11" type="noConversion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39C12"/>
  </sheetPr>
  <dimension ref="B1:F17"/>
  <sheetViews>
    <sheetView showGridLines="0" zoomScaleNormal="100" workbookViewId="0"/>
  </sheetViews>
  <sheetFormatPr defaultColWidth="8.7109375" defaultRowHeight="15"/>
  <cols>
    <col min="1" max="1" width="3" customWidth="1"/>
    <col min="2" max="2" width="28" customWidth="1"/>
    <col min="3" max="5" width="20" customWidth="1"/>
    <col min="6" max="6" width="3" customWidth="1"/>
  </cols>
  <sheetData>
    <row r="1" spans="2:5" ht="39.75" customHeight="1">
      <c r="B1" s="66"/>
      <c r="C1" s="66"/>
      <c r="D1" s="66"/>
      <c r="E1" s="66"/>
    </row>
    <row r="2" spans="2:5" ht="34.5" customHeight="1">
      <c r="B2" s="74" t="s">
        <v>87</v>
      </c>
      <c r="C2" s="74"/>
      <c r="D2" s="74"/>
      <c r="E2" s="74"/>
    </row>
    <row r="3" spans="2:5">
      <c r="B3" s="105" t="s">
        <v>220</v>
      </c>
      <c r="C3" s="105"/>
      <c r="D3" s="105"/>
      <c r="E3" s="105"/>
    </row>
    <row r="4" spans="2:5" ht="39.75" customHeight="1">
      <c r="B4" s="7" t="s">
        <v>88</v>
      </c>
      <c r="C4" s="7" t="s">
        <v>207</v>
      </c>
      <c r="D4" s="7" t="s">
        <v>208</v>
      </c>
      <c r="E4" s="7" t="s">
        <v>39</v>
      </c>
    </row>
    <row r="5" spans="2:5" ht="45" customHeight="1">
      <c r="B5" s="27" t="s">
        <v>209</v>
      </c>
      <c r="C5" s="15">
        <v>148</v>
      </c>
      <c r="D5" s="15">
        <v>270</v>
      </c>
      <c r="E5" s="35" t="s">
        <v>216</v>
      </c>
    </row>
    <row r="6" spans="2:5" ht="45" customHeight="1">
      <c r="B6" s="29" t="s">
        <v>89</v>
      </c>
      <c r="C6" s="36">
        <v>600</v>
      </c>
      <c r="D6" s="36">
        <v>1155</v>
      </c>
      <c r="E6" s="37" t="s">
        <v>212</v>
      </c>
    </row>
    <row r="7" spans="2:5" ht="45" customHeight="1">
      <c r="B7" s="27" t="s">
        <v>90</v>
      </c>
      <c r="C7" s="15">
        <v>50</v>
      </c>
      <c r="D7" s="15">
        <v>200</v>
      </c>
      <c r="E7" s="35" t="s">
        <v>91</v>
      </c>
    </row>
    <row r="8" spans="2:5" ht="45" customHeight="1">
      <c r="B8" s="29" t="s">
        <v>92</v>
      </c>
      <c r="C8" s="36">
        <v>50</v>
      </c>
      <c r="D8" s="36">
        <v>100</v>
      </c>
      <c r="E8" s="37" t="s">
        <v>213</v>
      </c>
    </row>
    <row r="9" spans="2:5" ht="45" customHeight="1">
      <c r="B9" s="27" t="s">
        <v>93</v>
      </c>
      <c r="C9" s="15">
        <v>12</v>
      </c>
      <c r="D9" s="15">
        <v>15</v>
      </c>
      <c r="E9" s="35" t="s">
        <v>214</v>
      </c>
    </row>
    <row r="10" spans="2:5" ht="45" customHeight="1">
      <c r="B10" s="29" t="s">
        <v>94</v>
      </c>
      <c r="C10" s="36">
        <v>40</v>
      </c>
      <c r="D10" s="36">
        <v>75</v>
      </c>
      <c r="E10" s="37" t="s">
        <v>215</v>
      </c>
    </row>
    <row r="11" spans="2:5" ht="39.75" customHeight="1">
      <c r="B11" s="59" t="s">
        <v>210</v>
      </c>
      <c r="C11" s="34">
        <f>SUM(C5:C10)</f>
        <v>900</v>
      </c>
      <c r="D11" s="34">
        <f>SUM(D5:D10)</f>
        <v>1815</v>
      </c>
      <c r="E11" s="23" t="s">
        <v>211</v>
      </c>
    </row>
    <row r="13" spans="2:5" ht="34.5" customHeight="1">
      <c r="B13" s="106" t="s">
        <v>95</v>
      </c>
      <c r="C13" s="106"/>
      <c r="D13" s="106"/>
      <c r="E13" s="106"/>
    </row>
    <row r="14" spans="2:5" ht="54.75" customHeight="1">
      <c r="B14" s="38" t="s">
        <v>96</v>
      </c>
      <c r="C14" s="107" t="s">
        <v>218</v>
      </c>
      <c r="D14" s="107"/>
      <c r="E14" s="107"/>
    </row>
    <row r="15" spans="2:5" ht="54.75" customHeight="1">
      <c r="B15" s="39" t="s">
        <v>217</v>
      </c>
      <c r="C15" s="101" t="s">
        <v>219</v>
      </c>
      <c r="D15" s="101"/>
      <c r="E15" s="101"/>
    </row>
    <row r="17" spans="2:6">
      <c r="B17" s="60" t="s">
        <v>237</v>
      </c>
      <c r="C17" s="60"/>
      <c r="D17" s="60"/>
      <c r="E17" s="60"/>
      <c r="F17" s="60"/>
    </row>
  </sheetData>
  <mergeCells count="7">
    <mergeCell ref="B1:E1"/>
    <mergeCell ref="B17:F17"/>
    <mergeCell ref="B2:E2"/>
    <mergeCell ref="B3:E3"/>
    <mergeCell ref="B13:E13"/>
    <mergeCell ref="C14:E14"/>
    <mergeCell ref="C15:E15"/>
  </mergeCells>
  <phoneticPr fontId="11" type="noConversion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74C3C"/>
  </sheetPr>
  <dimension ref="B1:F28"/>
  <sheetViews>
    <sheetView showGridLines="0" zoomScaleNormal="100" workbookViewId="0"/>
  </sheetViews>
  <sheetFormatPr defaultColWidth="8.7109375" defaultRowHeight="15"/>
  <cols>
    <col min="1" max="1" width="3" customWidth="1"/>
    <col min="2" max="2" width="5" customWidth="1"/>
    <col min="3" max="3" width="14.140625" customWidth="1"/>
    <col min="4" max="4" width="30" customWidth="1"/>
    <col min="5" max="5" width="31.42578125" customWidth="1"/>
    <col min="6" max="6" width="12" customWidth="1"/>
    <col min="7" max="7" width="3" customWidth="1"/>
  </cols>
  <sheetData>
    <row r="1" spans="2:6" ht="39.75" customHeight="1">
      <c r="B1" s="66"/>
      <c r="C1" s="66"/>
      <c r="D1" s="66"/>
      <c r="E1" s="66"/>
      <c r="F1" s="66"/>
    </row>
    <row r="2" spans="2:6" ht="34.5" customHeight="1">
      <c r="B2" s="74" t="s">
        <v>97</v>
      </c>
      <c r="C2" s="74"/>
      <c r="D2" s="74"/>
      <c r="E2" s="74"/>
      <c r="F2" s="74"/>
    </row>
    <row r="4" spans="2:6" ht="34.5" customHeight="1">
      <c r="B4" s="7" t="s">
        <v>64</v>
      </c>
      <c r="C4" s="7" t="s">
        <v>98</v>
      </c>
      <c r="D4" s="7" t="s">
        <v>99</v>
      </c>
      <c r="E4" s="7" t="s">
        <v>221</v>
      </c>
      <c r="F4" s="7" t="s">
        <v>100</v>
      </c>
    </row>
    <row r="5" spans="2:6" ht="51" customHeight="1">
      <c r="B5" s="40">
        <v>1</v>
      </c>
      <c r="C5" s="41" t="s">
        <v>101</v>
      </c>
      <c r="D5" s="42" t="s">
        <v>102</v>
      </c>
      <c r="E5" s="51" t="s">
        <v>242</v>
      </c>
      <c r="F5" s="52" t="s">
        <v>70</v>
      </c>
    </row>
    <row r="6" spans="2:6" ht="51" customHeight="1">
      <c r="B6" s="40">
        <v>2</v>
      </c>
      <c r="C6" s="41" t="s">
        <v>101</v>
      </c>
      <c r="D6" s="42" t="s">
        <v>103</v>
      </c>
      <c r="E6" s="51" t="s">
        <v>104</v>
      </c>
      <c r="F6" s="52" t="s">
        <v>70</v>
      </c>
    </row>
    <row r="7" spans="2:6" ht="51" customHeight="1">
      <c r="B7" s="40">
        <v>3</v>
      </c>
      <c r="C7" s="41" t="s">
        <v>101</v>
      </c>
      <c r="D7" s="42" t="s">
        <v>105</v>
      </c>
      <c r="E7" s="51" t="s">
        <v>243</v>
      </c>
      <c r="F7" s="52" t="s">
        <v>70</v>
      </c>
    </row>
    <row r="8" spans="2:6" ht="51" customHeight="1">
      <c r="B8" s="43">
        <v>4</v>
      </c>
      <c r="C8" s="39" t="s">
        <v>106</v>
      </c>
      <c r="D8" s="44" t="s">
        <v>107</v>
      </c>
      <c r="E8" s="10" t="s">
        <v>244</v>
      </c>
      <c r="F8" s="53" t="s">
        <v>70</v>
      </c>
    </row>
    <row r="9" spans="2:6" ht="51" customHeight="1">
      <c r="B9" s="43">
        <v>5</v>
      </c>
      <c r="C9" s="39" t="s">
        <v>106</v>
      </c>
      <c r="D9" s="44" t="s">
        <v>108</v>
      </c>
      <c r="E9" s="10" t="s">
        <v>222</v>
      </c>
      <c r="F9" s="53" t="s">
        <v>70</v>
      </c>
    </row>
    <row r="10" spans="2:6" ht="51" customHeight="1">
      <c r="B10" s="43">
        <v>6</v>
      </c>
      <c r="C10" s="39" t="s">
        <v>106</v>
      </c>
      <c r="D10" s="44" t="s">
        <v>109</v>
      </c>
      <c r="E10" s="10" t="s">
        <v>223</v>
      </c>
      <c r="F10" s="53" t="s">
        <v>70</v>
      </c>
    </row>
    <row r="11" spans="2:6" ht="51" customHeight="1">
      <c r="B11" s="43">
        <v>7</v>
      </c>
      <c r="C11" s="39" t="s">
        <v>106</v>
      </c>
      <c r="D11" s="44" t="s">
        <v>110</v>
      </c>
      <c r="E11" s="10" t="s">
        <v>245</v>
      </c>
      <c r="F11" s="53" t="s">
        <v>70</v>
      </c>
    </row>
    <row r="12" spans="2:6" ht="51" customHeight="1">
      <c r="B12" s="45">
        <v>8</v>
      </c>
      <c r="C12" s="46" t="s">
        <v>111</v>
      </c>
      <c r="D12" s="47" t="s">
        <v>112</v>
      </c>
      <c r="E12" s="54" t="s">
        <v>224</v>
      </c>
      <c r="F12" s="55" t="s">
        <v>70</v>
      </c>
    </row>
    <row r="13" spans="2:6" ht="51" customHeight="1">
      <c r="B13" s="45">
        <v>9</v>
      </c>
      <c r="C13" s="46" t="s">
        <v>111</v>
      </c>
      <c r="D13" s="47" t="s">
        <v>113</v>
      </c>
      <c r="E13" s="54" t="s">
        <v>225</v>
      </c>
      <c r="F13" s="55" t="s">
        <v>70</v>
      </c>
    </row>
    <row r="14" spans="2:6" ht="51" customHeight="1">
      <c r="B14" s="45">
        <v>10</v>
      </c>
      <c r="C14" s="46" t="s">
        <v>111</v>
      </c>
      <c r="D14" s="47" t="s">
        <v>114</v>
      </c>
      <c r="E14" s="54" t="s">
        <v>226</v>
      </c>
      <c r="F14" s="55" t="s">
        <v>70</v>
      </c>
    </row>
    <row r="15" spans="2:6" ht="51" customHeight="1">
      <c r="B15" s="45">
        <v>11</v>
      </c>
      <c r="C15" s="46" t="s">
        <v>111</v>
      </c>
      <c r="D15" s="47" t="s">
        <v>115</v>
      </c>
      <c r="E15" s="54" t="s">
        <v>227</v>
      </c>
      <c r="F15" s="55" t="s">
        <v>70</v>
      </c>
    </row>
    <row r="16" spans="2:6" ht="51" customHeight="1">
      <c r="B16" s="48">
        <v>12</v>
      </c>
      <c r="C16" s="49" t="s">
        <v>116</v>
      </c>
      <c r="D16" s="50" t="s">
        <v>117</v>
      </c>
      <c r="E16" s="56" t="s">
        <v>118</v>
      </c>
      <c r="F16" s="57" t="s">
        <v>70</v>
      </c>
    </row>
    <row r="17" spans="2:6" ht="51" customHeight="1">
      <c r="B17" s="48">
        <v>13</v>
      </c>
      <c r="C17" s="49" t="s">
        <v>116</v>
      </c>
      <c r="D17" s="50" t="s">
        <v>119</v>
      </c>
      <c r="E17" s="56" t="s">
        <v>228</v>
      </c>
      <c r="F17" s="57" t="s">
        <v>70</v>
      </c>
    </row>
    <row r="18" spans="2:6" ht="51" customHeight="1">
      <c r="B18" s="48">
        <v>14</v>
      </c>
      <c r="C18" s="49" t="s">
        <v>116</v>
      </c>
      <c r="D18" s="50" t="s">
        <v>120</v>
      </c>
      <c r="E18" s="56" t="s">
        <v>121</v>
      </c>
      <c r="F18" s="57" t="s">
        <v>70</v>
      </c>
    </row>
    <row r="20" spans="2:6" ht="34.5" customHeight="1">
      <c r="B20" s="74" t="s">
        <v>229</v>
      </c>
      <c r="C20" s="74"/>
      <c r="D20" s="74"/>
      <c r="E20" s="74"/>
      <c r="F20" s="74"/>
    </row>
    <row r="22" spans="2:6" ht="49.5" customHeight="1">
      <c r="B22" s="58" t="s">
        <v>122</v>
      </c>
      <c r="C22" s="11" t="s">
        <v>230</v>
      </c>
      <c r="D22" s="107" t="s">
        <v>234</v>
      </c>
      <c r="E22" s="107"/>
      <c r="F22" s="107"/>
    </row>
    <row r="23" spans="2:6" ht="49.5" customHeight="1">
      <c r="B23" s="58" t="s">
        <v>122</v>
      </c>
      <c r="C23" s="11" t="s">
        <v>231</v>
      </c>
      <c r="D23" s="107" t="s">
        <v>235</v>
      </c>
      <c r="E23" s="107"/>
      <c r="F23" s="107"/>
    </row>
    <row r="24" spans="2:6" ht="49.5" customHeight="1">
      <c r="B24" s="58" t="s">
        <v>122</v>
      </c>
      <c r="C24" s="11" t="s">
        <v>233</v>
      </c>
      <c r="D24" s="107" t="s">
        <v>236</v>
      </c>
      <c r="E24" s="107"/>
      <c r="F24" s="107"/>
    </row>
    <row r="25" spans="2:6" ht="30" customHeight="1">
      <c r="B25" s="108" t="s">
        <v>232</v>
      </c>
      <c r="C25" s="108"/>
      <c r="D25" s="108"/>
      <c r="E25" s="108"/>
      <c r="F25" s="108"/>
    </row>
    <row r="26" spans="2:6" ht="30" customHeight="1">
      <c r="B26" s="108"/>
      <c r="C26" s="108"/>
      <c r="D26" s="108"/>
      <c r="E26" s="108"/>
      <c r="F26" s="108"/>
    </row>
    <row r="28" spans="2:6">
      <c r="B28" s="60" t="s">
        <v>237</v>
      </c>
      <c r="C28" s="60"/>
      <c r="D28" s="60"/>
      <c r="E28" s="60"/>
      <c r="F28" s="60"/>
    </row>
  </sheetData>
  <mergeCells count="8">
    <mergeCell ref="B25:F26"/>
    <mergeCell ref="B1:F1"/>
    <mergeCell ref="B28:F28"/>
    <mergeCell ref="B2:F2"/>
    <mergeCell ref="B20:F20"/>
    <mergeCell ref="D22:F22"/>
    <mergeCell ref="D23:F23"/>
    <mergeCell ref="D24:F24"/>
  </mergeCells>
  <phoneticPr fontId="11" type="noConversion"/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표지</vt:lpstr>
      <vt:lpstr>①네트vs그로스비교</vt:lpstr>
      <vt:lpstr>②전환시뮬레이션</vt:lpstr>
      <vt:lpstr>③3-Tier보상체계</vt:lpstr>
      <vt:lpstr>④비과세복지항목</vt:lpstr>
      <vt:lpstr>⑤절세전략시뮬레이션</vt:lpstr>
      <vt:lpstr>⑥전환체크리스트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 a</cp:lastModifiedBy>
  <cp:revision>0</cp:revision>
  <dcterms:created xsi:type="dcterms:W3CDTF">2026-03-04T10:22:55Z</dcterms:created>
  <dcterms:modified xsi:type="dcterms:W3CDTF">2026-03-06T05:22:39Z</dcterms:modified>
  <dc:language>en-US</dc:language>
</cp:coreProperties>
</file>